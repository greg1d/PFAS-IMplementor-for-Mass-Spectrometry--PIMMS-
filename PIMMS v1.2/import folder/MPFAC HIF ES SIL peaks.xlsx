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wins Project (2.24-)\Non-target work\Import Folder\"/>
    </mc:Choice>
  </mc:AlternateContent>
  <xr:revisionPtr revIDLastSave="0" documentId="13_ncr:1_{1F9042E2-A5C4-4A5B-AC82-39A0CD5C911A}" xr6:coauthVersionLast="47" xr6:coauthVersionMax="47" xr10:uidLastSave="{00000000-0000-0000-0000-000000000000}"/>
  <bookViews>
    <workbookView xWindow="28680" yWindow="-120" windowWidth="29040" windowHeight="15720" xr2:uid="{652C3A68-403A-4B28-96E6-555C4519F303}"/>
  </bookViews>
  <sheets>
    <sheet name="MPFAC-HIF-ES Peaks" sheetId="1" r:id="rId1"/>
    <sheet name="MPFAC-HIF-ES Error Pea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2" i="2"/>
  <c r="B3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2" i="2"/>
  <c r="B1" i="2"/>
  <c r="A1" i="2"/>
</calcChain>
</file>

<file path=xl/sharedStrings.xml><?xml version="1.0" encoding="utf-8"?>
<sst xmlns="http://schemas.openxmlformats.org/spreadsheetml/2006/main" count="2" uniqueCount="2">
  <si>
    <t>m/z</t>
  </si>
  <si>
    <t>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</si>
</sst>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96E8-0E4C-45AD-926F-9B4F3E66DC3F}">
  <dimension ref="A1:B30"/>
  <sheetViews>
    <sheetView tabSelected="1" workbookViewId="0">
      <selection activeCell="H5" sqref="H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171.99940000000001</v>
      </c>
      <c r="B2" s="1">
        <v>110.2</v>
      </c>
    </row>
    <row r="3" spans="1:2" x14ac:dyDescent="0.25">
      <c r="A3" s="1">
        <v>222.99959999999999</v>
      </c>
      <c r="B3" s="1">
        <v>116.9</v>
      </c>
    </row>
    <row r="4" spans="1:2" x14ac:dyDescent="0.25">
      <c r="A4" s="1">
        <v>272.99639999999999</v>
      </c>
      <c r="B4" s="1">
        <v>124.6</v>
      </c>
    </row>
    <row r="5" spans="1:2" x14ac:dyDescent="0.25">
      <c r="A5" s="1">
        <v>321.98989999999998</v>
      </c>
      <c r="B5" s="1">
        <v>132.69999999999999</v>
      </c>
    </row>
    <row r="6" spans="1:2" x14ac:dyDescent="0.25">
      <c r="A6" s="1">
        <v>376.00009999999997</v>
      </c>
      <c r="B6" s="1">
        <v>139.80000000000001</v>
      </c>
    </row>
    <row r="7" spans="1:2" x14ac:dyDescent="0.25">
      <c r="A7" s="1">
        <v>427.00020000000001</v>
      </c>
      <c r="B7" s="1">
        <v>165.6</v>
      </c>
    </row>
    <row r="8" spans="1:2" x14ac:dyDescent="0.25">
      <c r="A8" s="1">
        <v>471.99340000000001</v>
      </c>
      <c r="B8" s="1">
        <v>147.4</v>
      </c>
    </row>
    <row r="9" spans="1:2" x14ac:dyDescent="0.25">
      <c r="A9" s="1">
        <v>473.98700000000002</v>
      </c>
      <c r="B9" s="1">
        <v>174.5</v>
      </c>
    </row>
    <row r="10" spans="1:2" x14ac:dyDescent="0.25">
      <c r="A10" s="1">
        <v>518.98019999999997</v>
      </c>
      <c r="B10" s="1">
        <v>155.9</v>
      </c>
    </row>
    <row r="11" spans="1:2" x14ac:dyDescent="0.25">
      <c r="A11" s="1">
        <v>524.98710000000005</v>
      </c>
      <c r="B11" s="1">
        <v>164.4</v>
      </c>
    </row>
    <row r="12" spans="1:2" x14ac:dyDescent="0.25">
      <c r="A12" s="1">
        <v>569.98030000000006</v>
      </c>
      <c r="B12" s="1">
        <v>183.6</v>
      </c>
    </row>
    <row r="13" spans="1:2" x14ac:dyDescent="0.25">
      <c r="A13" s="1">
        <v>569.96720000000005</v>
      </c>
      <c r="B13" s="1">
        <v>192.4</v>
      </c>
    </row>
    <row r="14" spans="1:2" x14ac:dyDescent="0.25">
      <c r="A14" s="1">
        <v>614.96040000000005</v>
      </c>
      <c r="B14" s="1">
        <v>172.6</v>
      </c>
    </row>
    <row r="15" spans="1:2" x14ac:dyDescent="0.25">
      <c r="A15" s="1">
        <v>669.96079999999995</v>
      </c>
      <c r="B15" s="1">
        <v>210.3</v>
      </c>
    </row>
    <row r="16" spans="1:2" x14ac:dyDescent="0.25">
      <c r="A16" s="1">
        <v>714.95399999999995</v>
      </c>
      <c r="B16" s="1">
        <v>188.8</v>
      </c>
    </row>
    <row r="17" spans="1:2" x14ac:dyDescent="0.25">
      <c r="A17" s="1">
        <v>505.97300000000001</v>
      </c>
      <c r="B17" s="1">
        <v>170.5</v>
      </c>
    </row>
    <row r="18" spans="1:2" x14ac:dyDescent="0.25">
      <c r="A18" s="1">
        <v>514.98069999999996</v>
      </c>
      <c r="B18" s="1">
        <v>174.4</v>
      </c>
    </row>
    <row r="19" spans="1:2" x14ac:dyDescent="0.25">
      <c r="A19" s="1">
        <v>531.00890000000004</v>
      </c>
      <c r="B19" s="1">
        <v>178.9</v>
      </c>
    </row>
    <row r="20" spans="1:2" x14ac:dyDescent="0.25">
      <c r="A20" s="1">
        <v>572.98620000000005</v>
      </c>
      <c r="B20" s="1">
        <v>193.8</v>
      </c>
    </row>
    <row r="21" spans="1:2" x14ac:dyDescent="0.25">
      <c r="A21" s="1">
        <v>589.01440000000002</v>
      </c>
      <c r="B21" s="1">
        <v>197.4</v>
      </c>
    </row>
    <row r="22" spans="1:2" x14ac:dyDescent="0.25">
      <c r="A22" s="1">
        <v>563.03200000000004</v>
      </c>
      <c r="B22" s="1">
        <v>193.6</v>
      </c>
    </row>
    <row r="23" spans="1:2" x14ac:dyDescent="0.25">
      <c r="A23" s="1">
        <v>531.03200000000004</v>
      </c>
      <c r="B23" s="1">
        <v>197.7</v>
      </c>
    </row>
    <row r="24" spans="1:2" x14ac:dyDescent="0.25">
      <c r="A24" s="1">
        <v>286.9846</v>
      </c>
      <c r="B24" s="1">
        <v>127</v>
      </c>
    </row>
    <row r="25" spans="1:2" x14ac:dyDescent="0.25">
      <c r="A25" s="1">
        <v>301.95310000000001</v>
      </c>
      <c r="B25" s="1">
        <v>133.6</v>
      </c>
    </row>
    <row r="26" spans="1:2" x14ac:dyDescent="0.25">
      <c r="A26" s="1">
        <v>401.94670000000002</v>
      </c>
      <c r="B26" s="1">
        <v>151.30000000000001</v>
      </c>
    </row>
    <row r="27" spans="1:2" x14ac:dyDescent="0.25">
      <c r="A27" s="1">
        <v>506.95710000000003</v>
      </c>
      <c r="B27" s="1">
        <v>169.3</v>
      </c>
    </row>
    <row r="28" spans="1:2" x14ac:dyDescent="0.25">
      <c r="A28" s="1">
        <v>328.98099999999999</v>
      </c>
      <c r="B28" s="1">
        <v>151</v>
      </c>
    </row>
    <row r="29" spans="1:2" x14ac:dyDescent="0.25">
      <c r="A29" s="1">
        <v>428.97460000000001</v>
      </c>
      <c r="B29" s="1">
        <v>169</v>
      </c>
    </row>
    <row r="30" spans="1:2" x14ac:dyDescent="0.25">
      <c r="A30" s="1">
        <v>528.96820000000002</v>
      </c>
      <c r="B30" s="1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725E-36F4-41A6-B838-C13F66A483F1}">
  <dimension ref="A1:B30"/>
  <sheetViews>
    <sheetView workbookViewId="0">
      <selection activeCell="A2" sqref="A2:B2"/>
    </sheetView>
  </sheetViews>
  <sheetFormatPr defaultRowHeight="15" x14ac:dyDescent="0.25"/>
  <sheetData>
    <row r="1" spans="1:2" x14ac:dyDescent="0.25">
      <c r="A1" t="str">
        <f>'MPFAC-HIF-ES Peaks'!A1</f>
        <v>m/z</v>
      </c>
      <c r="B1" t="str">
        <f>'MPFAC-HIF-ES Peaks'!B1</f>
        <v>CCS</v>
      </c>
    </row>
    <row r="2" spans="1:2" x14ac:dyDescent="0.25">
      <c r="A2">
        <f>-1.003355+'MPFAC-HIF-ES Peaks'!A2</f>
        <v>170.99604500000001</v>
      </c>
      <c r="B2">
        <f>'MPFAC-HIF-ES Peaks'!B2</f>
        <v>110.2</v>
      </c>
    </row>
    <row r="3" spans="1:2" x14ac:dyDescent="0.25">
      <c r="A3">
        <f>-1.003355+'MPFAC-HIF-ES Peaks'!A3</f>
        <v>221.99624499999999</v>
      </c>
      <c r="B3">
        <f>'MPFAC-HIF-ES Peaks'!B3</f>
        <v>116.9</v>
      </c>
    </row>
    <row r="4" spans="1:2" x14ac:dyDescent="0.25">
      <c r="A4">
        <f>-1.003355+'MPFAC-HIF-ES Peaks'!A4</f>
        <v>271.993045</v>
      </c>
      <c r="B4">
        <f>'MPFAC-HIF-ES Peaks'!B4</f>
        <v>124.6</v>
      </c>
    </row>
    <row r="5" spans="1:2" x14ac:dyDescent="0.25">
      <c r="A5">
        <f>-1.003355+'MPFAC-HIF-ES Peaks'!A5</f>
        <v>320.98654499999998</v>
      </c>
      <c r="B5">
        <f>'MPFAC-HIF-ES Peaks'!B5</f>
        <v>132.69999999999999</v>
      </c>
    </row>
    <row r="6" spans="1:2" x14ac:dyDescent="0.25">
      <c r="A6">
        <f>-1.003355+'MPFAC-HIF-ES Peaks'!A6</f>
        <v>374.99674499999998</v>
      </c>
      <c r="B6">
        <f>'MPFAC-HIF-ES Peaks'!B6</f>
        <v>139.80000000000001</v>
      </c>
    </row>
    <row r="7" spans="1:2" x14ac:dyDescent="0.25">
      <c r="A7">
        <f>-1.003355+'MPFAC-HIF-ES Peaks'!A7</f>
        <v>425.99684500000001</v>
      </c>
      <c r="B7">
        <f>'MPFAC-HIF-ES Peaks'!B7</f>
        <v>165.6</v>
      </c>
    </row>
    <row r="8" spans="1:2" x14ac:dyDescent="0.25">
      <c r="A8">
        <f>-1.003355+'MPFAC-HIF-ES Peaks'!A8</f>
        <v>470.99004500000001</v>
      </c>
      <c r="B8">
        <f>'MPFAC-HIF-ES Peaks'!B8</f>
        <v>147.4</v>
      </c>
    </row>
    <row r="9" spans="1:2" x14ac:dyDescent="0.25">
      <c r="A9">
        <f>-1.003355+'MPFAC-HIF-ES Peaks'!A9</f>
        <v>472.98364500000002</v>
      </c>
      <c r="B9">
        <f>'MPFAC-HIF-ES Peaks'!B9</f>
        <v>174.5</v>
      </c>
    </row>
    <row r="10" spans="1:2" x14ac:dyDescent="0.25">
      <c r="A10">
        <f>-1.003355+'MPFAC-HIF-ES Peaks'!A10</f>
        <v>517.97684499999991</v>
      </c>
      <c r="B10">
        <f>'MPFAC-HIF-ES Peaks'!B10</f>
        <v>155.9</v>
      </c>
    </row>
    <row r="11" spans="1:2" x14ac:dyDescent="0.25">
      <c r="A11">
        <f>-1.003355+'MPFAC-HIF-ES Peaks'!A11</f>
        <v>523.983745</v>
      </c>
      <c r="B11">
        <f>'MPFAC-HIF-ES Peaks'!B11</f>
        <v>164.4</v>
      </c>
    </row>
    <row r="12" spans="1:2" x14ac:dyDescent="0.25">
      <c r="A12">
        <f>-1.003355+'MPFAC-HIF-ES Peaks'!A12</f>
        <v>568.976945</v>
      </c>
      <c r="B12">
        <f>'MPFAC-HIF-ES Peaks'!B12</f>
        <v>183.6</v>
      </c>
    </row>
    <row r="13" spans="1:2" x14ac:dyDescent="0.25">
      <c r="A13">
        <f>-1.003355+'MPFAC-HIF-ES Peaks'!A13</f>
        <v>568.96384499999999</v>
      </c>
      <c r="B13">
        <f>'MPFAC-HIF-ES Peaks'!B13</f>
        <v>192.4</v>
      </c>
    </row>
    <row r="14" spans="1:2" x14ac:dyDescent="0.25">
      <c r="A14">
        <f>-1.003355+'MPFAC-HIF-ES Peaks'!A14</f>
        <v>613.95704499999999</v>
      </c>
      <c r="B14">
        <f>'MPFAC-HIF-ES Peaks'!B14</f>
        <v>172.6</v>
      </c>
    </row>
    <row r="15" spans="1:2" x14ac:dyDescent="0.25">
      <c r="A15">
        <f>-1.003355+'MPFAC-HIF-ES Peaks'!A15</f>
        <v>668.95744499999989</v>
      </c>
      <c r="B15">
        <f>'MPFAC-HIF-ES Peaks'!B15</f>
        <v>210.3</v>
      </c>
    </row>
    <row r="16" spans="1:2" x14ac:dyDescent="0.25">
      <c r="A16">
        <f>-1.003355+'MPFAC-HIF-ES Peaks'!A16</f>
        <v>713.95064499999989</v>
      </c>
      <c r="B16">
        <f>'MPFAC-HIF-ES Peaks'!B16</f>
        <v>188.8</v>
      </c>
    </row>
    <row r="17" spans="1:2" x14ac:dyDescent="0.25">
      <c r="A17">
        <f>-1.003355+'MPFAC-HIF-ES Peaks'!A17</f>
        <v>504.96964500000001</v>
      </c>
      <c r="B17">
        <f>'MPFAC-HIF-ES Peaks'!B17</f>
        <v>170.5</v>
      </c>
    </row>
    <row r="18" spans="1:2" x14ac:dyDescent="0.25">
      <c r="A18">
        <f>-1.003355+'MPFAC-HIF-ES Peaks'!A18</f>
        <v>513.9773449999999</v>
      </c>
      <c r="B18">
        <f>'MPFAC-HIF-ES Peaks'!B18</f>
        <v>174.4</v>
      </c>
    </row>
    <row r="19" spans="1:2" x14ac:dyDescent="0.25">
      <c r="A19">
        <f>-1.003355+'MPFAC-HIF-ES Peaks'!A19</f>
        <v>530.00554499999998</v>
      </c>
      <c r="B19">
        <f>'MPFAC-HIF-ES Peaks'!B19</f>
        <v>178.9</v>
      </c>
    </row>
    <row r="20" spans="1:2" x14ac:dyDescent="0.25">
      <c r="A20">
        <f>-1.003355+'MPFAC-HIF-ES Peaks'!A20</f>
        <v>571.982845</v>
      </c>
      <c r="B20">
        <f>'MPFAC-HIF-ES Peaks'!B20</f>
        <v>193.8</v>
      </c>
    </row>
    <row r="21" spans="1:2" x14ac:dyDescent="0.25">
      <c r="A21">
        <f>-1.003355+'MPFAC-HIF-ES Peaks'!A21</f>
        <v>588.01104499999997</v>
      </c>
      <c r="B21">
        <f>'MPFAC-HIF-ES Peaks'!B21</f>
        <v>197.4</v>
      </c>
    </row>
    <row r="22" spans="1:2" x14ac:dyDescent="0.25">
      <c r="A22">
        <f>-1.003355+'MPFAC-HIF-ES Peaks'!A22</f>
        <v>562.02864499999998</v>
      </c>
      <c r="B22">
        <f>'MPFAC-HIF-ES Peaks'!B22</f>
        <v>193.6</v>
      </c>
    </row>
    <row r="23" spans="1:2" x14ac:dyDescent="0.25">
      <c r="A23">
        <f>-1.003355+'MPFAC-HIF-ES Peaks'!A23</f>
        <v>530.02864499999998</v>
      </c>
      <c r="B23">
        <f>'MPFAC-HIF-ES Peaks'!B23</f>
        <v>197.7</v>
      </c>
    </row>
    <row r="24" spans="1:2" x14ac:dyDescent="0.25">
      <c r="A24">
        <f>-1.003355+'MPFAC-HIF-ES Peaks'!A24</f>
        <v>285.981245</v>
      </c>
      <c r="B24">
        <f>'MPFAC-HIF-ES Peaks'!B24</f>
        <v>127</v>
      </c>
    </row>
    <row r="25" spans="1:2" x14ac:dyDescent="0.25">
      <c r="A25">
        <f>-1.003355+'MPFAC-HIF-ES Peaks'!A25</f>
        <v>300.94974500000001</v>
      </c>
      <c r="B25">
        <f>'MPFAC-HIF-ES Peaks'!B25</f>
        <v>133.6</v>
      </c>
    </row>
    <row r="26" spans="1:2" x14ac:dyDescent="0.25">
      <c r="A26">
        <f>-1.003355+'MPFAC-HIF-ES Peaks'!A26</f>
        <v>400.94334500000002</v>
      </c>
      <c r="B26">
        <f>'MPFAC-HIF-ES Peaks'!B26</f>
        <v>151.30000000000001</v>
      </c>
    </row>
    <row r="27" spans="1:2" x14ac:dyDescent="0.25">
      <c r="A27">
        <f>-1.003355+'MPFAC-HIF-ES Peaks'!A27</f>
        <v>505.95374500000003</v>
      </c>
      <c r="B27">
        <f>'MPFAC-HIF-ES Peaks'!B27</f>
        <v>169.3</v>
      </c>
    </row>
    <row r="28" spans="1:2" x14ac:dyDescent="0.25">
      <c r="A28">
        <f>-1.003355+'MPFAC-HIF-ES Peaks'!A28</f>
        <v>327.977645</v>
      </c>
      <c r="B28">
        <f>'MPFAC-HIF-ES Peaks'!B28</f>
        <v>151</v>
      </c>
    </row>
    <row r="29" spans="1:2" x14ac:dyDescent="0.25">
      <c r="A29">
        <f>-1.003355+'MPFAC-HIF-ES Peaks'!A29</f>
        <v>427.97124500000001</v>
      </c>
      <c r="B29">
        <f>'MPFAC-HIF-ES Peaks'!B29</f>
        <v>169</v>
      </c>
    </row>
    <row r="30" spans="1:2" x14ac:dyDescent="0.25">
      <c r="A30">
        <f>-1.003355+'MPFAC-HIF-ES Peaks'!A30</f>
        <v>527.96484499999997</v>
      </c>
      <c r="B30">
        <f>'MPFAC-HIF-ES Peaks'!B30</f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MPFAC-HIF-ES Peaks</vt:lpstr>
      <vt:lpstr>MPFAC-HIF-ES Error Peaks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Kudzin, Gregory Phillip</dc:creator>
  <cp:lastModifiedBy>Kudzin, Gregory Phillip</cp:lastModifiedBy>
  <dcterms:created xsi:type="dcterms:W3CDTF">2024-09-20T13:38:22Z</dcterms:created>
  <dcterms:modified xsi:type="dcterms:W3CDTF">2024-09-20T14:29:28Z</dcterms:modified>
</cp:coreProperties>
</file>