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adminliveunc-my.sharepoint.com/personal/aboatman_ad_unc_edu/Documents/UNC Research/2022 Alligator Plasma PFAS/PIMMS/"/>
    </mc:Choice>
  </mc:AlternateContent>
  <xr:revisionPtr revIDLastSave="2088" documentId="8_{B9DBC5E6-6E23-4D39-99BE-043AB46E7F61}" xr6:coauthVersionLast="47" xr6:coauthVersionMax="47" xr10:uidLastSave="{9597CF39-DA31-4C42-A27E-4B4D8F08E175}"/>
  <bookViews>
    <workbookView xWindow="28680" yWindow="-120" windowWidth="29040" windowHeight="16440" firstSheet="8" activeTab="8" xr2:uid="{00000000-000D-0000-FFFF-FFFF00000000}"/>
  </bookViews>
  <sheets>
    <sheet name="Likely" sheetId="1" r:id="rId1"/>
    <sheet name="Tentative (EPA match)" sheetId="2" r:id="rId2"/>
    <sheet name="Tentative (No EPA match)" sheetId="3" r:id="rId3"/>
    <sheet name="Detection frequencies" sheetId="4" r:id="rId4"/>
    <sheet name="Skyline" sheetId="5" r:id="rId5"/>
    <sheet name="Prioritized features" sheetId="6" r:id="rId6"/>
    <sheet name="MSMS list" sheetId="7" r:id="rId7"/>
    <sheet name="Potentially novel" sheetId="8" r:id="rId8"/>
    <sheet name="NewPFAS-Skyline" sheetId="17" r:id="rId9"/>
    <sheet name="mz480" sheetId="16" r:id="rId10"/>
    <sheet name="ID5135" sheetId="15" r:id="rId11"/>
    <sheet name="PFUdA" sheetId="14" r:id="rId12"/>
    <sheet name="PFPeDA" sheetId="13" r:id="rId13"/>
    <sheet name="PFECAs" sheetId="12" r:id="rId14"/>
    <sheet name="U-PFOS" sheetId="11" r:id="rId15"/>
    <sheet name="SPATTS" sheetId="9" r:id="rId16"/>
    <sheet name="PFAESA series" sheetId="10" r:id="rId17"/>
  </sheets>
  <definedNames>
    <definedName name="_xlchart.v1.0" hidden="1">'Detection frequencies'!$B$2:$B$32</definedName>
    <definedName name="_xlchart.v1.1" hidden="1">'Detection frequencies'!$E$2:$E$63</definedName>
    <definedName name="_xlchart.v1.2" hidden="1">'Detection frequencies'!$H$2:$H$150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10" l="1"/>
  <c r="N53" i="15" l="1"/>
  <c r="C20" i="15"/>
  <c r="C19" i="15"/>
  <c r="C23" i="15"/>
  <c r="C22" i="15"/>
  <c r="N1" i="15"/>
  <c r="EG14" i="8" l="1"/>
  <c r="EG13" i="8"/>
  <c r="EG12" i="8"/>
  <c r="EG11" i="8"/>
  <c r="EG10" i="8"/>
  <c r="EE8" i="8"/>
  <c r="EE7" i="8"/>
  <c r="EE6" i="8"/>
  <c r="EE5" i="8"/>
  <c r="EE4" i="8"/>
  <c r="EE3" i="8"/>
  <c r="EE2" i="8"/>
  <c r="K3" i="7" l="1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2" i="7"/>
  <c r="J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2" i="7"/>
  <c r="ED30" i="6"/>
  <c r="ED29" i="6"/>
  <c r="ED28" i="6"/>
  <c r="ED27" i="6"/>
  <c r="ED26" i="6"/>
  <c r="ED25" i="6"/>
  <c r="ED24" i="6"/>
  <c r="ED23" i="6"/>
  <c r="ED22" i="6"/>
  <c r="ED21" i="6"/>
  <c r="ED20" i="6"/>
  <c r="ED19" i="6"/>
  <c r="ED18" i="6"/>
  <c r="ED17" i="6"/>
  <c r="ED16" i="6"/>
  <c r="EB14" i="6"/>
  <c r="EB13" i="6"/>
  <c r="EB12" i="6"/>
  <c r="EB11" i="6"/>
  <c r="EB10" i="6"/>
  <c r="EB9" i="6"/>
  <c r="EB8" i="6"/>
  <c r="EB7" i="6"/>
  <c r="EB6" i="6"/>
  <c r="EB5" i="6"/>
  <c r="EB4" i="6"/>
  <c r="EB3" i="6"/>
  <c r="EB2" i="6"/>
  <c r="EH3" i="3"/>
  <c r="EH13" i="3"/>
  <c r="EH15" i="3"/>
  <c r="EH9" i="3"/>
  <c r="EH82" i="3"/>
  <c r="EH113" i="3"/>
  <c r="EH115" i="3"/>
  <c r="EH14" i="3"/>
  <c r="EH90" i="3"/>
  <c r="EH110" i="3"/>
  <c r="EH7" i="3"/>
  <c r="EH109" i="3"/>
  <c r="EH147" i="3"/>
  <c r="EH4" i="3"/>
  <c r="EH92" i="3"/>
  <c r="EH111" i="3"/>
  <c r="EH139" i="3"/>
  <c r="EH43" i="3"/>
  <c r="EH84" i="3"/>
  <c r="EH12" i="3"/>
  <c r="EH108" i="3"/>
  <c r="EH94" i="3"/>
  <c r="EH112" i="3"/>
  <c r="EH5" i="3"/>
  <c r="EH2" i="3"/>
  <c r="EH81" i="3"/>
  <c r="EH46" i="3"/>
  <c r="EH91" i="3"/>
  <c r="EH107" i="3"/>
  <c r="EH145" i="3"/>
  <c r="EH143" i="3"/>
  <c r="EH85" i="3"/>
  <c r="EH10" i="3"/>
  <c r="EH16" i="3"/>
  <c r="EH89" i="3"/>
  <c r="EH88" i="3"/>
  <c r="EH87" i="3"/>
  <c r="EH58" i="3"/>
  <c r="EH50" i="3"/>
  <c r="EH74" i="3"/>
  <c r="EH45" i="3"/>
  <c r="EH144" i="3"/>
  <c r="EH101" i="3"/>
  <c r="EH120" i="3"/>
  <c r="EH83" i="3"/>
  <c r="EH11" i="3"/>
  <c r="EH129" i="3"/>
  <c r="EH51" i="3"/>
  <c r="EH128" i="3"/>
  <c r="EH29" i="3"/>
  <c r="EH30" i="3"/>
  <c r="EH123" i="3"/>
  <c r="EH96" i="3"/>
  <c r="EH116" i="3"/>
  <c r="EH124" i="3"/>
  <c r="EH78" i="3"/>
  <c r="EH141" i="3"/>
  <c r="EH97" i="3"/>
  <c r="EH106" i="3"/>
  <c r="EH48" i="3"/>
  <c r="EH55" i="3"/>
  <c r="EH70" i="3"/>
  <c r="EH121" i="3"/>
  <c r="EH54" i="3"/>
  <c r="EH102" i="3"/>
  <c r="EH103" i="3"/>
  <c r="EH119" i="3"/>
  <c r="EH52" i="3"/>
  <c r="EH24" i="3"/>
  <c r="EH79" i="3"/>
  <c r="EH64" i="3"/>
  <c r="EH60" i="3"/>
  <c r="EH38" i="3"/>
  <c r="EH6" i="3"/>
  <c r="EH149" i="3"/>
  <c r="EH132" i="3"/>
  <c r="EH17" i="3"/>
  <c r="EH93" i="3"/>
  <c r="EH32" i="3"/>
  <c r="EH76" i="3"/>
  <c r="EH47" i="3"/>
  <c r="EH28" i="3"/>
  <c r="EH44" i="3"/>
  <c r="EH59" i="3"/>
  <c r="EH75" i="3"/>
  <c r="EH133" i="3"/>
  <c r="EH140" i="3"/>
  <c r="EH25" i="3"/>
  <c r="EH126" i="3"/>
  <c r="EH72" i="3"/>
  <c r="EH105" i="3"/>
  <c r="EH19" i="3"/>
  <c r="EH26" i="3"/>
  <c r="EH99" i="3"/>
  <c r="EH69" i="3"/>
  <c r="EH56" i="3"/>
  <c r="EH146" i="3"/>
  <c r="EH77" i="3"/>
  <c r="EH73" i="3"/>
  <c r="EH135" i="3"/>
  <c r="EH61" i="3"/>
  <c r="EH150" i="3"/>
  <c r="EH117" i="3"/>
  <c r="EH137" i="3"/>
  <c r="EH131" i="3"/>
  <c r="EH65" i="3"/>
  <c r="EH118" i="3"/>
  <c r="EH66" i="3"/>
  <c r="EH122" i="3"/>
  <c r="EH40" i="3"/>
  <c r="EH125" i="3"/>
  <c r="EH130" i="3"/>
  <c r="EH104" i="3"/>
  <c r="EH142" i="3"/>
  <c r="EH127" i="3"/>
  <c r="EH41" i="3"/>
  <c r="EH134" i="3"/>
  <c r="EH21" i="3"/>
  <c r="EH35" i="3"/>
  <c r="EH98" i="3"/>
  <c r="EH63" i="3"/>
  <c r="EH80" i="3"/>
  <c r="EH148" i="3"/>
  <c r="EH95" i="3"/>
  <c r="EH27" i="3"/>
  <c r="EH100" i="3"/>
  <c r="EH138" i="3"/>
  <c r="EH8" i="3"/>
  <c r="EH114" i="3"/>
  <c r="EH71" i="3"/>
  <c r="EH57" i="3"/>
  <c r="EH39" i="3"/>
  <c r="EH49" i="3"/>
  <c r="EH34" i="3"/>
  <c r="EH42" i="3"/>
  <c r="EH18" i="3"/>
  <c r="EH62" i="3"/>
  <c r="EH31" i="3"/>
  <c r="EH23" i="3"/>
  <c r="EH20" i="3"/>
  <c r="EH86" i="3"/>
  <c r="EH67" i="3"/>
  <c r="EH68" i="3"/>
  <c r="EH37" i="3"/>
  <c r="EH36" i="3"/>
  <c r="EH22" i="3"/>
  <c r="EH33" i="3"/>
  <c r="EH53" i="3"/>
  <c r="EH136" i="3"/>
  <c r="EF20" i="2"/>
  <c r="EF56" i="2"/>
  <c r="EF53" i="2"/>
  <c r="EF21" i="2"/>
  <c r="EF2" i="2"/>
  <c r="EF54" i="2"/>
  <c r="EF15" i="2"/>
  <c r="EF3" i="2"/>
  <c r="EF13" i="2"/>
  <c r="EF57" i="2"/>
  <c r="EF41" i="2"/>
  <c r="EF18" i="2"/>
  <c r="EF52" i="2"/>
  <c r="EF12" i="2"/>
  <c r="EF23" i="2"/>
  <c r="EF6" i="2"/>
  <c r="EF4" i="2"/>
  <c r="EF11" i="2"/>
  <c r="EF9" i="2"/>
  <c r="EF29" i="2"/>
  <c r="EF5" i="2"/>
  <c r="EF17" i="2"/>
  <c r="EF61" i="2"/>
  <c r="EF19" i="2"/>
  <c r="EF48" i="2"/>
  <c r="EF38" i="2"/>
  <c r="EF25" i="2"/>
  <c r="EF51" i="2"/>
  <c r="EF43" i="2"/>
  <c r="EF42" i="2"/>
  <c r="EF47" i="2"/>
  <c r="EF7" i="2"/>
  <c r="EF32" i="2"/>
  <c r="EF14" i="2"/>
  <c r="EF49" i="2"/>
  <c r="EF27" i="2"/>
  <c r="EF30" i="2"/>
  <c r="EF59" i="2"/>
  <c r="EF16" i="2"/>
  <c r="EF45" i="2"/>
  <c r="EF28" i="2"/>
  <c r="EF60" i="2"/>
  <c r="EF34" i="2"/>
  <c r="EF10" i="2"/>
  <c r="EF46" i="2"/>
  <c r="EF50" i="2"/>
  <c r="EF63" i="2"/>
  <c r="EF58" i="2"/>
  <c r="EF37" i="2"/>
  <c r="EF26" i="2"/>
  <c r="EF62" i="2"/>
  <c r="EF39" i="2"/>
  <c r="EF8" i="2"/>
  <c r="EF24" i="2"/>
  <c r="EF40" i="2"/>
  <c r="EF35" i="2"/>
  <c r="EF44" i="2"/>
  <c r="EF55" i="2"/>
  <c r="EF33" i="2"/>
  <c r="EF36" i="2"/>
  <c r="EF31" i="2"/>
  <c r="EF22" i="2"/>
  <c r="EG14" i="1"/>
  <c r="EG11" i="1"/>
  <c r="EG8" i="1"/>
  <c r="EG13" i="1"/>
  <c r="EG10" i="1"/>
  <c r="EG9" i="1"/>
  <c r="EG17" i="1"/>
  <c r="EG19" i="1"/>
  <c r="EG30" i="1"/>
  <c r="EG3" i="1"/>
  <c r="EG7" i="1"/>
  <c r="EG28" i="1"/>
  <c r="EG12" i="1"/>
  <c r="EG31" i="1"/>
  <c r="EG20" i="1"/>
  <c r="EG26" i="1"/>
  <c r="EG4" i="1"/>
  <c r="EG27" i="1"/>
  <c r="EG23" i="1"/>
  <c r="EG25" i="1"/>
  <c r="EG32" i="1"/>
  <c r="EG15" i="1"/>
  <c r="EG29" i="1"/>
  <c r="EG5" i="1"/>
  <c r="EG6" i="1"/>
  <c r="EG18" i="1"/>
  <c r="EG22" i="1"/>
  <c r="EG2" i="1"/>
  <c r="EG24" i="1"/>
  <c r="EG16" i="1"/>
  <c r="EG21" i="1"/>
</calcChain>
</file>

<file path=xl/sharedStrings.xml><?xml version="1.0" encoding="utf-8"?>
<sst xmlns="http://schemas.openxmlformats.org/spreadsheetml/2006/main" count="6392" uniqueCount="708">
  <si>
    <t>row.ID</t>
  </si>
  <si>
    <t>Score</t>
  </si>
  <si>
    <t>SeriesType_Identifier</t>
  </si>
  <si>
    <t>Name_or_Class</t>
  </si>
  <si>
    <t>Formula</t>
  </si>
  <si>
    <t>SMILES</t>
  </si>
  <si>
    <t>m/z</t>
  </si>
  <si>
    <t>Retention Time</t>
  </si>
  <si>
    <t>Unique</t>
  </si>
  <si>
    <t>Score_Description</t>
  </si>
  <si>
    <t>Needs_Validation</t>
  </si>
  <si>
    <t>DT</t>
  </si>
  <si>
    <t>CCS</t>
  </si>
  <si>
    <t>Z</t>
  </si>
  <si>
    <t>Ions</t>
  </si>
  <si>
    <t>Freq.</t>
  </si>
  <si>
    <t>Q.Score</t>
  </si>
  <si>
    <t>Sat.</t>
  </si>
  <si>
    <t>Mark</t>
  </si>
  <si>
    <t>ID_Ranked</t>
  </si>
  <si>
    <t>nominal mass</t>
  </si>
  <si>
    <t>mass defect</t>
  </si>
  <si>
    <t>[CF2]n_Kendrick_mass</t>
  </si>
  <si>
    <t>[CF2]n_nominal_Kendrick_mass</t>
  </si>
  <si>
    <t>[CF2]n_Kendrick_mass_defect</t>
  </si>
  <si>
    <t>[CF2]n_KMD_Group</t>
  </si>
  <si>
    <t>[CF2]n_homologous_series</t>
  </si>
  <si>
    <t>[CF2]n_Homologous_series_count</t>
  </si>
  <si>
    <t>[CF2]n_MD_Filter</t>
  </si>
  <si>
    <t>[CF2]n_RT_series</t>
  </si>
  <si>
    <t>[CF2]n_DT_series</t>
  </si>
  <si>
    <t>Confident_ID</t>
  </si>
  <si>
    <t>2+_homologous_series</t>
  </si>
  <si>
    <t>3+_homologous_series</t>
  </si>
  <si>
    <t>Exact_mass_match</t>
  </si>
  <si>
    <t>Score.1</t>
  </si>
  <si>
    <t>Score_Description.1</t>
  </si>
  <si>
    <t>Checked_Viz</t>
  </si>
  <si>
    <t>TRUE_Viz</t>
  </si>
  <si>
    <t>Class_Viz</t>
  </si>
  <si>
    <t>Cnumb_Viz</t>
  </si>
  <si>
    <t>Comment_Viz</t>
  </si>
  <si>
    <t>Classification</t>
  </si>
  <si>
    <t>X1300.20.d.DeMP</t>
  </si>
  <si>
    <t>X1304.20.d.DeMP</t>
  </si>
  <si>
    <t>X1307.18.d.DeMP</t>
  </si>
  <si>
    <t>X1318.18.d.DeMP</t>
  </si>
  <si>
    <t>X1507.20.d.DeMP</t>
  </si>
  <si>
    <t>X1508.18.d.DeMP</t>
  </si>
  <si>
    <t>X1531.17.d.DeMP</t>
  </si>
  <si>
    <t>X1533.20.d.DeMP</t>
  </si>
  <si>
    <t>X1537.18.d.DeMP</t>
  </si>
  <si>
    <t>X1539.20.d.DeMP</t>
  </si>
  <si>
    <t>X1540.17.d.DeMP</t>
  </si>
  <si>
    <t>X1541.20.d.DeMP</t>
  </si>
  <si>
    <t>X1601.20.d.DeMP</t>
  </si>
  <si>
    <t>X1602.17.d.DeMP</t>
  </si>
  <si>
    <t>X1603.18.d.DeMP</t>
  </si>
  <si>
    <t>X1605.20.d.DeMP</t>
  </si>
  <si>
    <t>X1607.18.d.DeMP</t>
  </si>
  <si>
    <t>X1609.16.d.DeMP</t>
  </si>
  <si>
    <t>X1620.18.d.DeMP</t>
  </si>
  <si>
    <t>X1621.18.d.DeMP</t>
  </si>
  <si>
    <t>X1622.18.d.DeMP</t>
  </si>
  <si>
    <t>X1624.17.d.DeMP</t>
  </si>
  <si>
    <t>X1626.20.d.DeMP</t>
  </si>
  <si>
    <t>X1627.17.d.DeMP</t>
  </si>
  <si>
    <t>X1630.17.d.DeMP</t>
  </si>
  <si>
    <t>X1631.16.d.DeMP</t>
  </si>
  <si>
    <t>X1632.20.d.DeMP</t>
  </si>
  <si>
    <t>X1633.16.d.DeMP</t>
  </si>
  <si>
    <t>X1636.20.d.DeMP</t>
  </si>
  <si>
    <t>X1637.20.d.DeMP</t>
  </si>
  <si>
    <t>X1638.16.d.DeMP</t>
  </si>
  <si>
    <t>X1639.20.d.DeMP</t>
  </si>
  <si>
    <t>X1640.20.d.DeMP</t>
  </si>
  <si>
    <t>X1643.17.d.DeMP</t>
  </si>
  <si>
    <t>X1644.17.d.DeMP</t>
  </si>
  <si>
    <t>X1645.16.d.DeMP</t>
  </si>
  <si>
    <t>X1646.18.d.DeMP</t>
  </si>
  <si>
    <t>X1649.20.d.DeMP</t>
  </si>
  <si>
    <t>X1650.16.d.DeMP</t>
  </si>
  <si>
    <t>X1652.20.d.DeMP</t>
  </si>
  <si>
    <t>X1705.17.d.DeMP</t>
  </si>
  <si>
    <t>X1709.18.d.DeMP</t>
  </si>
  <si>
    <t>X1710.20.d.DeMP</t>
  </si>
  <si>
    <t>X1712.17.d.DeMP</t>
  </si>
  <si>
    <t>X1713.20.d.DeMP</t>
  </si>
  <si>
    <t>X1714.20.d.DeMP</t>
  </si>
  <si>
    <t>X2101.18.d.DeMP</t>
  </si>
  <si>
    <t>X2104.18.d.DeMP</t>
  </si>
  <si>
    <t>X2106.16.d.DeMP</t>
  </si>
  <si>
    <t>X2114.20.d.DeMP</t>
  </si>
  <si>
    <t>X2132.18.d.DeMP</t>
  </si>
  <si>
    <t>X2162.20.d.DeMP</t>
  </si>
  <si>
    <t>X2163.20.d.DeMP</t>
  </si>
  <si>
    <t>X2173.18.d.DeMP</t>
  </si>
  <si>
    <t>X2180.17.d.DeMP</t>
  </si>
  <si>
    <t>X2185.16.d.DeMP</t>
  </si>
  <si>
    <t>X2190.18.d.DeMP</t>
  </si>
  <si>
    <t>X2191.18.d.DeMP</t>
  </si>
  <si>
    <t>X2192.18.d.DeMP</t>
  </si>
  <si>
    <t>X2194.20.d.DeMP</t>
  </si>
  <si>
    <t>X2195.17.d.DeMP</t>
  </si>
  <si>
    <t>X2197.17.d.DeMP</t>
  </si>
  <si>
    <t>X2199.18.d.DeMP</t>
  </si>
  <si>
    <t>X2207.18.d.DeMP</t>
  </si>
  <si>
    <t>X2216.18.d.DeMP</t>
  </si>
  <si>
    <t>X2231.20.d.DeMP</t>
  </si>
  <si>
    <t>X2237.18.d.DeMP</t>
  </si>
  <si>
    <t>X2243.17.d.DeMP</t>
  </si>
  <si>
    <t>X2246.20.d.DeMP</t>
  </si>
  <si>
    <t>X2255.16.d.DeMP</t>
  </si>
  <si>
    <t>X2257.18.d.DeMP</t>
  </si>
  <si>
    <t>X2258.18.d.DeMP</t>
  </si>
  <si>
    <t>X2259.16.d.DeMP</t>
  </si>
  <si>
    <t>X2261.17.d.DeMP</t>
  </si>
  <si>
    <t>X2262.17.d.DeMP</t>
  </si>
  <si>
    <t>X2268.18.d.DeMP</t>
  </si>
  <si>
    <t>X2273.20.d.DeMP</t>
  </si>
  <si>
    <t>X2276.18.d.DeMP</t>
  </si>
  <si>
    <t>X2277.18.d.DeMP</t>
  </si>
  <si>
    <t>X2280.18.d.DeMP</t>
  </si>
  <si>
    <t>X2281.17.d.DeMP</t>
  </si>
  <si>
    <t>X2284.17.d.DeMP</t>
  </si>
  <si>
    <t>X2285.18.d.DeMP</t>
  </si>
  <si>
    <t>X2286.17.d.DeMP</t>
  </si>
  <si>
    <t>X2291.20.d.DeMP</t>
  </si>
  <si>
    <t>X2292.18.d.DeMP</t>
  </si>
  <si>
    <t>X2293.20.d.DeMP</t>
  </si>
  <si>
    <t>X2296.18.d.DeMP</t>
  </si>
  <si>
    <t>X2298.17.d.DeMP</t>
  </si>
  <si>
    <t>X2299.17.d.DeMP</t>
  </si>
  <si>
    <t>A</t>
  </si>
  <si>
    <t>[CF2]n_11</t>
  </si>
  <si>
    <t>PFOS-L|(M-H)-|NA|CAS=NA</t>
  </si>
  <si>
    <t>C8HF17O3S</t>
  </si>
  <si>
    <t>Yes</t>
  </si>
  <si>
    <t>Lvl 2 Schymanski: Confident ID (class specific dominant fragments observed along with exact mass) and 2+ in homologous series</t>
  </si>
  <si>
    <t>No</t>
  </si>
  <si>
    <t>x</t>
  </si>
  <si>
    <t>1_PFOS-L|(M-H)-|NA|CAS=NA;C8HF17O3S;NA | 1_13C8- PFOS|(M-H)-|NA|CAS=NA;C8HF17O3S;NA | 1_PFOS|(M-H)-|DTXSID3031864|CAS=1763-23-1;C8HF17O3S;OS(=O)(=O)C(F)(F)C(F)(F)C(F)(F)C(F)(F)C(F)(F)C(F)(F)C(F)(F)C(F)(F)F</t>
  </si>
  <si>
    <t>RT ordered</t>
  </si>
  <si>
    <t>DT ordered</t>
  </si>
  <si>
    <t>likely</t>
  </si>
  <si>
    <t>[CF2]n_10</t>
  </si>
  <si>
    <t>PFHxS-L|(M-H)-|NA|CAS=NA</t>
  </si>
  <si>
    <t>C6HF13O3S</t>
  </si>
  <si>
    <t>1_PFHxS-L|(M-H)-|NA|CAS=NA;C6HF13O3S;NA | 1_13C3- PFHxS|(M-H)-|NA|CAS=NA;C6HF13O3S;NA | 1_PFHxS|(M-H)-|DTXSID7040150|CAS=355-46-4;C6HF13O3S;OS(=O)(=O)C(F)(F)C(F)(F)C(F)(F)C(F)(F)C(F)(F)C(F)(F)F</t>
  </si>
  <si>
    <t>PFDS-L|(M-H)-|NA|CAS=NA</t>
  </si>
  <si>
    <t>C10HF21O3S</t>
  </si>
  <si>
    <t>1_PFDS-L|(M-H)-|NA|CAS=NA;C10HF21O3S;NA | 1_PFDS|(M-H)-|DTXSID00873014|CAS=126105-34-8;C10HF21O3S;OS(=O)(=O)C(F)(F)C(F)(F)C(F)(F)C(F)(F)C(F)(F)C(F)(F)C(F)(F)C(F)(F)C(F)(F)C(F)(F)F</t>
  </si>
  <si>
    <t>[CF2]n_7</t>
  </si>
  <si>
    <t>PFDA|(M-H-CO2)-|DTXSID3031860|CAS=335-76-2</t>
  </si>
  <si>
    <t>C10HF19O2</t>
  </si>
  <si>
    <t>OC(=O)C(F)(F)C(F)(F)C(F)(F)C(F)(F)C(F)(F)C(F)(F)C(F)(F)C(F)(F)C(F)(F)F</t>
  </si>
  <si>
    <t>1_PFDA|(M-H-CO2)-|DTXSID3031860|CAS=335-76-2;C10HF19O2;OC(=O)C(F)(F)C(F)(F)C(F)(F)C(F)(F)C(F)(F)C(F)(F)C(F)(F)C(F)(F)C(F)(F)F | 1_13C6- PFDA|(M-H-CO2)-|NA|CAS=NA;C10HF19O2;NA | 1_PFDA|(M-H-CO2)-|DTXSID3031860|CAS=335-76-2;C10HF19O2;OC(=O)C(F)(F)C(F)(F)C(F)(F)C(F)(F)C(F)(F)C(F)(F)C(F)(F)C(F)(F)C(F)(F)F</t>
  </si>
  <si>
    <t>PFHpS-L|(M-H)-|NA|CAS=NA</t>
  </si>
  <si>
    <t>C7HF15O3S</t>
  </si>
  <si>
    <t>1_PFHpS-L|(M-H)-|NA|CAS=NA;C7HF15O3S;NA | 1_PFHpS|(M-H)-|DTXSID8059920|CAS=375-92-8;C7HF15O3S;OS(=O)(=O)C(F)(F)C(F)(F)C(F)(F)C(F)(F)C(F)(F)C(F)(F)C(F)(F)F</t>
  </si>
  <si>
    <t>[CF2]n_17</t>
  </si>
  <si>
    <t>PFDoA|(M-H-CO2)-|DTXSID8031861|CAS=307-55-1</t>
  </si>
  <si>
    <t>C12HF23O2</t>
  </si>
  <si>
    <t>OC(=O)C(F)(F)C(F)(F)C(F)(F)C(F)(F)C(F)(F)C(F)(F)C(F)(F)C(F)(F)C(F)(F)C(F)(F)C(F)(F)F</t>
  </si>
  <si>
    <t>1_PFDoA|(M-H-CO2)-|DTXSID8031861|CAS=307-55-1;C12HF23O2;OC(=O)C(F)(F)C(F)(F)C(F)(F)C(F)(F)C(F)(F)C(F)(F)C(F)(F)C(F)(F)C(F)(F)C(F)(F)C(F)(F)F | 1_13C2- PFDoA|(M-H-CO2)-|NA|CAS=NA;C12HF23O2;NA | 1_PFDoA|(M-H-CO2)-|DTXSID8031861|CAS=307-55-1;C12HF23O2;OC(=O)C(F)(F)C(F)(F)C(F)(F)C(F)(F)C(F)(F)C(F)(F)C(F)(F)C(F)(F)C(F)(F)C(F)(F)C(F)(F)F</t>
  </si>
  <si>
    <t>DT not ordered</t>
  </si>
  <si>
    <t>[CF2]n_14</t>
  </si>
  <si>
    <t>PFDoA|(M-H)-|DTXSID8031861|CAS=307-55-1</t>
  </si>
  <si>
    <t>1_PFDoA|(M-H)-|DTXSID8031861|CAS=307-55-1;C12HF23O2;OC(=O)C(F)(F)C(F)(F)C(F)(F)C(F)(F)C(F)(F)C(F)(F)C(F)(F)C(F)(F)C(F)(F)C(F)(F)C(F)(F)F | 1_13C2- PFDoA|(M-H)-|NA|CAS=NA;C12HF23O2;NA | 1_PFDoA|(M-H)-|DTXSID8031861|CAS=307-55-1;C12HF23O2;OC(=O)C(F)(F)C(F)(F)C(F)(F)C(F)(F)C(F)(F)C(F)(F)C(F)(F)C(F)(F)C(F)(F)C(F)(F)C(F)(F)F</t>
  </si>
  <si>
    <t>PFNA|(M-H-CO2)-|DTXSID8031863|CAS=375-95-1</t>
  </si>
  <si>
    <t>C9HF17O2</t>
  </si>
  <si>
    <t>OC(=O)C(F)(F)C(F)(F)C(F)(F)C(F)(F)C(F)(F)C(F)(F)C(F)(F)C(F)(F)F</t>
  </si>
  <si>
    <t>1_PFNA|(M-H-CO2)-|DTXSID8031863|CAS=375-95-1;C9HF17O2;OC(=O)C(F)(F)C(F)(F)C(F)(F)C(F)(F)C(F)(F)C(F)(F)C(F)(F)C(F)(F)F | 1_13C9- PFNA|(M-H-CO2)-|NA|CAS=NA;C9HF17O2;NA | 1_PFNA|(M-H-CO2)-|DTXSID8031863|CAS=375-95-1;C9HF17O2;OC(=O)C(F)(F)C(F)(F)C(F)(F)C(F)(F)C(F)(F)C(F)(F)C(F)(F)C(F)(F)F</t>
  </si>
  <si>
    <t>PFNS-L|(M-H)-|NA|CAS=NA</t>
  </si>
  <si>
    <t>C9HF19SO3</t>
  </si>
  <si>
    <t>1_PFNS-L|(M-H)-|NA|CAS=NA;C9HF19SO3;NA | 1_PFNS|(M-H)-|DTXSID60873010|CAS=474511-07-4;C9HF19SO3;OS(=O)(=O)C(F)(F)C(F)(F)C(F)(F)C(F)(F)C(F)(F)C(F)(F)C(F)(F)C(F)(F)C(F)(F)F</t>
  </si>
  <si>
    <t>PFUdA|(M-H-CO2)-|DTXSID8047553|CAS=2058-94-8</t>
  </si>
  <si>
    <t>C11HF21O2</t>
  </si>
  <si>
    <t>OC(=O)C(F)(F)C(F)(F)C(F)(F)C(F)(F)C(F)(F)C(F)(F)C(F)(F)C(F)(F)C(F)(F)C(F)(F)F</t>
  </si>
  <si>
    <t>1_PFUdA|(M-H-CO2)-|DTXSID8047553|CAS=2058-94-8;C11HF21O2;OC(=O)C(F)(F)C(F)(F)C(F)(F)C(F)(F)C(F)(F)C(F)(F)C(F)(F)C(F)(F)C(F)(F)C(F)(F)F | 1_13C7- PFUdA|(M-H-CO2)-|NA|CAS=NA;C11HF21O2;NA | 1_PFUdA|(M-H-CO2)-|DTXSID8047553|CAS=2058-94-8;C11HF21O2;OC(=O)C(F)(F)C(F)(F)C(F)(F)C(F)(F)C(F)(F)C(F)(F)C(F)(F)C(F)(F)C(F)(F)C(F)(F)F</t>
  </si>
  <si>
    <t>A-</t>
  </si>
  <si>
    <t>[CF2]n_0</t>
  </si>
  <si>
    <t>Nafion Byproduct 2|(M-H)-|DTXSID10892352|CAS=749836-20-2</t>
  </si>
  <si>
    <t>C7H2F14O5S</t>
  </si>
  <si>
    <t>[H]C(F)(OC(F)(F)C(F)(OC(F)(F)C(F)(F)S(O)(=O)=O)C(F)(F)F)C(F)(F)F</t>
  </si>
  <si>
    <t>Lvl 2 Schymanski: Confident ID (class specific dominant fragments and exact mass)</t>
  </si>
  <si>
    <t>1_Nafion Byproduct 2|(M-H)-|DTXSID10892352|CAS=749836-20-2;C7H2F14O5S;[H]C(F)(OC(F)(F)C(F)(OC(F)(F)C(F)(F)S(O)(=O)=O)C(F)(F)F)C(F)(F)F | 1_Nafion Byproduct 2|(M-H)-|DTXSID10892352|CAS=749836-20-2;C7H2F14O5S;[H]C(F)(OC(F)(F)C(F)(OC(F)(F)C(F)(F)S(O)(=O)=O)C(F)(F)F)C(F)(F)F</t>
  </si>
  <si>
    <t>PFDA|(M-H)-|DTXSID3031860|CAS=335-76-2</t>
  </si>
  <si>
    <t>1_PFDA|(M-H)-|DTXSID3031860|CAS=335-76-2;C10HF19O2;OC(=O)C(F)(F)C(F)(F)C(F)(F)C(F)(F)C(F)(F)C(F)(F)C(F)(F)C(F)(F)C(F)(F)F | 1_PFDA|(M-H)-|DTXSID3031860|CAS=335-76-2;C10HF19O2;OC(=O)C(F)(F)C(F)(F)C(F)(F)C(F)(F)C(F)(F)C(F)(F)C(F)(F)C(F)(F)C(F)(F)F</t>
  </si>
  <si>
    <t>[CF2]n_8</t>
  </si>
  <si>
    <t>PFUdA|(M-H)-|DTXSID8047553|CAS=2058-94-8</t>
  </si>
  <si>
    <t>1_PFUdA|(M-H)-|DTXSID8047553|CAS=2058-94-8;C11HF21O2;OC(=O)C(F)(F)C(F)(F)C(F)(F)C(F)(F)C(F)(F)C(F)(F)C(F)(F)C(F)(F)C(F)(F)C(F)(F)F | 1_PFUdA|(M-H)-|DTXSID8047553|CAS=2058-94-8;C11HF21O2;OC(=O)C(F)(F)C(F)(F)C(F)(F)C(F)(F)C(F)(F)C(F)(F)C(F)(F)C(F)(F)C(F)(F)C(F)(F)F</t>
  </si>
  <si>
    <t>[CF2]n_9</t>
  </si>
  <si>
    <t>[CF2]n_19</t>
  </si>
  <si>
    <t>PFTrDA|(M-H)-|DTXSID20892489|CAS=862374-87-6</t>
  </si>
  <si>
    <t>C13HF25O2</t>
  </si>
  <si>
    <t>OC(=O)C(F)(F)C(F)(F)C(F)(F)C(F)(F)C(F)(F)C(F)(F)C(F)(F)C(F)(F)C(F)(F)C(F)(F)C(F)(F)C(F)(F)F</t>
  </si>
  <si>
    <t>1_PFTrDA|(M-H)-|DTXSID20892489|CAS=862374-87-6;C13HF25O2;OC(=O)C(F)(F)C(F)(F)C(F)(F)C(F)(F)C(F)(F)C(F)(F)C(F)(F)C(F)(F)C(F)(F)C(F)(F)C(F)(F)C(F)(F)F | 1_PFTrDA|(M-H)-|DTXSID20892489|CAS=862374-87-6;C13HF25O2;OC(=O)C(F)(F)C(F)(F)C(F)(F)C(F)(F)C(F)(F)C(F)(F)C(F)(F)C(F)(F)C(F)(F)C(F)(F)C(F)(F)C(F)(F)F</t>
  </si>
  <si>
    <t>[CF2]n_20</t>
  </si>
  <si>
    <t>PFTrDA|(M-H-CO2)-|DTXSID20892489|CAS=862374-87-6</t>
  </si>
  <si>
    <t>1_PFTrDA|(M-H-CO2)-|DTXSID20892489|CAS=862374-87-6;C13HF25O2;OC(=O)C(F)(F)C(F)(F)C(F)(F)C(F)(F)C(F)(F)C(F)(F)C(F)(F)C(F)(F)C(F)(F)C(F)(F)C(F)(F)C(F)(F)F | 1_PFTrDA|(M-H-CO2)-|DTXSID20892489|CAS=862374-87-6;C13HF25O2;OC(=O)C(F)(F)C(F)(F)C(F)(F)C(F)(F)C(F)(F)C(F)(F)C(F)(F)C(F)(F)C(F)(F)C(F)(F)C(F)(F)C(F)(F)F</t>
  </si>
  <si>
    <t>PFTeDA|(M-H)-|DTXSID3059921|CAS=376-06-7</t>
  </si>
  <si>
    <t>C14HF27O2</t>
  </si>
  <si>
    <t>OC(=O)C(F)(F)C(F)(F)C(F)(F)C(F)(F)C(F)(F)C(F)(F)C(F)(F)C(F)(F)C(F)(F)C(F)(F)C(F)(F)C(F)(F)C(F)(F)F</t>
  </si>
  <si>
    <t>1_PFTeDA|(M-H)-|DTXSID3059921|CAS=376-06-7;C14HF27O2;OC(=O)C(F)(F)C(F)(F)C(F)(F)C(F)(F)C(F)(F)C(F)(F)C(F)(F)C(F)(F)C(F)(F)C(F)(F)C(F)(F)C(F)(F)C(F)(F)F | 1_13C2- PFTeDA|(M-H)-|NA|CAS=NA;C14HF27O2;NA | 1_PFTeDA|(M-H)-|DTXSID3059921|CAS=376-06-7;C14HF27O2;OC(=O)C(F)(F)C(F)(F)C(F)(F)C(F)(F)C(F)(F)C(F)(F)C(F)(F)C(F)(F)C(F)(F)C(F)(F)C(F)(F)C(F)(F)C(F)(F)F</t>
  </si>
  <si>
    <t>[CF2]n_12</t>
  </si>
  <si>
    <t>PFTeDA|(M-H-CO2)-|DTXSID3059921|CAS=376-06-7</t>
  </si>
  <si>
    <t>1_PFTeDA|(M-H-CO2)-|DTXSID3059921|CAS=376-06-7;C14HF27O2;OC(=O)C(F)(F)C(F)(F)C(F)(F)C(F)(F)C(F)(F)C(F)(F)C(F)(F)C(F)(F)C(F)(F)C(F)(F)C(F)(F)C(F)(F)C(F)(F)F | 1_13C2- PFTeDA|(M-H-CO2)-|NA|CAS=NA;C14HF27O2;NA | 1_PFTeDA|(M-H-CO2)-|DTXSID3059921|CAS=376-06-7;C14HF27O2;OC(=O)C(F)(F)C(F)(F)C(F)(F)C(F)(F)C(F)(F)C(F)(F)C(F)(F)C(F)(F)C(F)(F)C(F)(F)C(F)(F)C(F)(F)C(F)(F)F</t>
  </si>
  <si>
    <t>[CF2]n_6</t>
  </si>
  <si>
    <t>PMPA|(M-H-CO2)-|NA|CAS=NA</t>
  </si>
  <si>
    <t>C4HF7O3</t>
  </si>
  <si>
    <t>1_PMPA|(M-H-CO2)-|NA|CAS=NA;C4HF7O3;NA | 1_PFMPA|(M-H-CO2)-|DTXSID70191136|CAS=377-73-1;C4HF7O3;OC(=O)C(F)(F)C(F)(F)OC(F)(F)F</t>
  </si>
  <si>
    <t>RT not ordered</t>
  </si>
  <si>
    <t>8:2 FTS|(M-H)-|DTXSID00192353|CAS=39108-34-4</t>
  </si>
  <si>
    <t>C10H5F17SO3</t>
  </si>
  <si>
    <t>OS(=O)(=O)CCC(F)(F)C(F)(F)C(F)(F)C(F)(F)C(F)(F)C(F)(F)C(F)(F)C(F)(F)F</t>
  </si>
  <si>
    <t>1_8:2 FTS|(M-H)-|DTXSID00192353|CAS=39108-34-4;C10H5F17SO3;OS(=O)(=O)CCC(F)(F)C(F)(F)C(F)(F)C(F)(F)C(F)(F)C(F)(F)C(F)(F)C(F)(F)F | 1_8:2 FTS|(M-H)-|DTXSID00192353|CAS=39108-34-4;C10H5F17SO3;OS(=O)(=O)CCC(F)(F)C(F)(F)C(F)(F)C(F)(F)C(F)(F)C(F)(F)C(F)(F)C(F)(F)F</t>
  </si>
  <si>
    <t>PFNA|(M-H)-|DTXSID8031863|CAS=375-95-1</t>
  </si>
  <si>
    <t>1_PFNA|(M-H)-|DTXSID8031863|CAS=375-95-1;C9HF17O2;OC(=O)C(F)(F)C(F)(F)C(F)(F)C(F)(F)C(F)(F)C(F)(F)C(F)(F)C(F)(F)F | 1_PFNA|(M-H)-|DTXSID8031863|CAS=375-95-1;C9HF17O2;OC(=O)C(F)(F)C(F)(F)C(F)(F)C(F)(F)C(F)(F)C(F)(F)C(F)(F)C(F)(F)F</t>
  </si>
  <si>
    <t>EPA_Match</t>
  </si>
  <si>
    <t>X1604.18.d.DeMP</t>
  </si>
  <si>
    <t>X1608.18.d.DeMP</t>
  </si>
  <si>
    <t>X1625.18.d.DeMP</t>
  </si>
  <si>
    <t>X1641.18.d.DeMP</t>
  </si>
  <si>
    <t>X2181.17.d.DeMP</t>
  </si>
  <si>
    <t>C+</t>
  </si>
  <si>
    <t>[CF2]n_15</t>
  </si>
  <si>
    <t>1,1,2,2,3,3,5,5,6,6,6-undecafluoro-4,4-bis(trifluoromethyl)hexane-1-sulfonic acid/1,1,2,2,3,3,5,5,6,6,6-undecafluoro-4,4-bis(trifluoromethyl)hexane-1-sulfonic acid/1,1,2,2,3,3,5,5,6,6,6-undecafluoro-4,4-bis(trifluoromethyl)hexane-1-sulfonic acid/1,1,2,2,3,3,5,5,6,6,6-undecafluoro-4,4-bis(trifluoromethyl)hexane-1-sulfonic acid/1,1,2,2,3,3,5,5,6,6,6-undecafluoro-4,4-bis(trifluoromethyl)hexane-1-sulfonic acid/1,1,2,2,3,3,5,5,6,6,6-undecafluoro-4,4-bis(trifluoromethyl)hexane-1-sulfonic acid/1,1,2,2,3,3,5,5,6,6,6-undecafluoro-4,4-bis(trifluoromethyl)hexane-1-sulfonic acid/1,1,2,2,3,3,5,5,6,6,6-undecafluoro-4,4-bis(trifluoromethyl)hexane-1-sulfonic acid</t>
  </si>
  <si>
    <t>Lvl 5 Schymanski: Possible ID, possible PFAS: 2+ in homologous series, and at least one confident PFAS identification within homologous series (A- or higher grade)</t>
  </si>
  <si>
    <t>4_PFOS-L|(M-H)-|NA|CAS=NA;C8HF17O3S;NA | 4_13C8- PFOS|(M-H)-|NA|CAS=NA;C8HF17O3S;NA | 4_PFOS|(M-H)-|DTXSID3031864|CAS=1763-23-1;C8HF17O3S;OS(=O)(=O)C(F)(F)C(F)(F)C(F)(F)C(F)(F)C(F)(F)C(F)(F)C(F)(F)C(F)(F)F</t>
  </si>
  <si>
    <t>D-</t>
  </si>
  <si>
    <t>Lvl 5 Schymanski: No ID, possible PFAS: Mass defect falling within -0.11 and 0.12 OR exact mass match</t>
  </si>
  <si>
    <t>[CF2]n_22</t>
  </si>
  <si>
    <t>2-(N-Methylperfluorooctanesulfonamido)acetic acid</t>
  </si>
  <si>
    <t>C11H6F17NO4S</t>
  </si>
  <si>
    <t>CN(CC(O)=O)S(=O)(=O)C(F)(F)C(F)(F)C(F)(F)C(F)(F)C(F)(F)C(F)(F)C(F)(F)C(F)(F)F</t>
  </si>
  <si>
    <t>4_N-MeFOSAA|(M-H)-|DTXSID10624392|CAS=2355-31-9;C11H6F17NO4S;CN(CC(O)=O)S(=O)(=O)C(F)(F)C(F)(F)C(F)(F)C(F)(F)C(F)(F)C(F)(F)C(F)(F)C(F)(F)F | 4_NMeFOSAA|(M-H)-|DTXSID10624392|CAS=2355-31-9;C11H6F17NO4S;CN(CC(O)=O)S(=O)(=O)C(F)(F)C(F)(F)C(F)(F)C(F)(F)C(F)(F)C(F)(F)C(F)(F)C(F)(F)F</t>
  </si>
  <si>
    <t>D</t>
  </si>
  <si>
    <t>2,2,3,3,4,4,5,5,6,6,7,7,8,8,9,9,10,10,11,11,12,12,13,13,14,14,15,15,16,16,17,17,18,18-tetratriacontafluorooctadecanoic acid</t>
  </si>
  <si>
    <t>Lvl 5 Schymanski: No ID, possible PFAS: 3+ within homologous series</t>
  </si>
  <si>
    <t>5_NoID</t>
  </si>
  <si>
    <t>Perfluorododecanoic acid</t>
  </si>
  <si>
    <t>4_PFDoA|(M-H)-|DTXSID8031861|CAS=307-55-1;C12HF23O2;OC(=O)C(F)(F)C(F)(F)C(F)(F)C(F)(F)C(F)(F)C(F)(F)C(F)(F)C(F)(F)C(F)(F)C(F)(F)C(F)(F)F | 4_13C2- PFDoA|(M-H)-|NA|CAS=NA;C12HF23O2;NA | 4_PFDoA|(M-H)-|DTXSID8031861|CAS=307-55-1;C12HF23O2;OC(=O)C(F)(F)C(F)(F)C(F)(F)C(F)(F)C(F)(F)C(F)(F)C(F)(F)C(F)(F)C(F)(F)C(F)(F)C(F)(F)F</t>
  </si>
  <si>
    <t>16-H-Perfluorohexadecanoic acid</t>
  </si>
  <si>
    <t>Perfluorodecanesulfonic acid</t>
  </si>
  <si>
    <t>4_PFDS-L|(M-H)-|NA|CAS=NA;C10HF21O3S;NA | 4_PFDS|(M-H)-|DTXSID00873014|CAS=126105-34-8;C10HF21O3S;OS(=O)(=O)C(F)(F)C(F)(F)C(F)(F)C(F)(F)C(F)(F)C(F)(F)C(F)(F)C(F)(F)C(F)(F)C(F)(F)F</t>
  </si>
  <si>
    <t>2,2,3,3,4,4,5,5,6,6,7,7,8,9,9,9-hexadecafluoro-8-(trifluoromethyl)nonanoic acid/2,2,3,3,4,4,5,5,6,6,7,7,8,9,9,9-hexadecafluoro-8-(trifluoromethyl)nonanoic acid/2,2,3,3,4,4,5,5,6,6,7,7,8,9,9,9-hexadecafluoro-8-(trifluoromethyl)nonanoic acid</t>
  </si>
  <si>
    <t>4_PFDA|(M-H)-|DTXSID3031860|CAS=335-76-2;C10HF19O2;OC(=O)C(F)(F)C(F)(F)C(F)(F)C(F)(F)C(F)(F)C(F)(F)C(F)(F)C(F)(F)C(F)(F)F | 4_PFDA|(M-H)-|DTXSID3031860|CAS=335-76-2;C10HF19O2;OC(=O)C(F)(F)C(F)(F)C(F)(F)C(F)(F)C(F)(F)C(F)(F)C(F)(F)C(F)(F)C(F)(F)F</t>
  </si>
  <si>
    <t>[CF2]n_16</t>
  </si>
  <si>
    <t>[CF2]n_21</t>
  </si>
  <si>
    <t>2-[(3,3,4,4,5,5,6,6,6-Nonafluorohexyl)oxy]ethan-1-ol/2-[(3,3,4,4,5,5,6,6,6-Nonafluorohexyl)oxy]ethan-1-ol</t>
  </si>
  <si>
    <t>Perfluorononanesulfonic acid/2,2'-(2-Iodo-5-methyl-1,3-phenylene)bis(hexafluoropropan-2-ol)</t>
  </si>
  <si>
    <t>4_PFNS-L|(M-H)-|NA|CAS=NA;C9HF19SO3;NA | 4_PFNS|(M-H)-|DTXSID60873010|CAS=474511-07-4;C9HF19SO3;OS(=O)(=O)C(F)(F)C(F)(F)C(F)(F)C(F)(F)C(F)(F)C(F)(F)C(F)(F)C(F)(F)C(F)(F)F</t>
  </si>
  <si>
    <t>15-H-Perfluoropentadecanoic acid</t>
  </si>
  <si>
    <t>Perfluorotridecanoic acid/Perfluorotridecanoic acid/Perfluoro-2-(2-ethoxyethoxy)-1,1-diphenylethan-1-ol</t>
  </si>
  <si>
    <t>4_PFTrDA|(M-H)-|DTXSID20892489|CAS=862374-87-6;C13HF25O2;OC(=O)C(F)(F)C(F)(F)C(F)(F)C(F)(F)C(F)(F)C(F)(F)C(F)(F)C(F)(F)C(F)(F)C(F)(F)C(F)(F)C(F)(F)F | 4_PFTrDA|(M-H)-|DTXSID20892489|CAS=862374-87-6;C13HF25O2;OC(=O)C(F)(F)C(F)(F)C(F)(F)C(F)(F)C(F)(F)C(F)(F)C(F)(F)C(F)(F)C(F)(F)C(F)(F)C(F)(F)C(F)(F)F</t>
  </si>
  <si>
    <t>Nonafluorobutane-1-sulfonoperoxoic acid/Nonafluorobutane-1-sulfonoperoxoic acid/3-(2,2-Dichloroethenyl)-2,2-bis(trifluoromethyl)cyclopropane-1-carboxylic acid</t>
  </si>
  <si>
    <t>C4HF9O4S</t>
  </si>
  <si>
    <t>OS(=O)(=O)C(F)(F)C(F)(F)OC(F)(F)C(F)(F)F</t>
  </si>
  <si>
    <t>4_PFEESA|(M-H)-|DTXSID50379814|CAS=113507-82-7;C4HF9O4S;OS(=O)(=O)C(F)(F)C(F)(F)OC(F)(F)C(F)(F)F | 4_PFEESA|(M-H)-|DTXSID50379814|CAS=113507-82-7;C4HF9O4S;OS(=O)(=O)C(F)(F)C(F)(F)OC(F)(F)C(F)(F)F</t>
  </si>
  <si>
    <t>Perfluorotetradecanoic acid</t>
  </si>
  <si>
    <t>4_PFTeDA|(M-H)-|DTXSID3059921|CAS=376-06-7;C14HF27O2;OC(=O)C(F)(F)C(F)(F)C(F)(F)C(F)(F)C(F)(F)C(F)(F)C(F)(F)C(F)(F)C(F)(F)C(F)(F)C(F)(F)C(F)(F)C(F)(F)F | 4_13C2- PFTeDA|(M-H)-|NA|CAS=NA;C14HF27O2;NA | 4_PFTeDA|(M-H)-|DTXSID3059921|CAS=376-06-7;C14HF27O2;OC(=O)C(F)(F)C(F)(F)C(F)(F)C(F)(F)C(F)(F)C(F)(F)C(F)(F)C(F)(F)C(F)(F)C(F)(F)C(F)(F)C(F)(F)C(F)(F)F</t>
  </si>
  <si>
    <t>Benzoic acid, 2-hydroxy-4-(2,2,3,3-tetrafluoropropoxy)-, methyl ester</t>
  </si>
  <si>
    <t>1,1,2,2-Tetrafluoro-2-[(tridecafluorohexyl)oxy]ethanesulfonic acid</t>
  </si>
  <si>
    <t>[CF2]n_26</t>
  </si>
  <si>
    <t>B-(4-(Perfluoro-1-methylethyl)phenyl)boronic acid</t>
  </si>
  <si>
    <t>Perfluoro-9-(trifluoromethyl)decanoic acid/Perfluoro-9-(trifluoromethyl)decanoic acid</t>
  </si>
  <si>
    <t>4_PFUdA|(M-H)-|DTXSID8047553|CAS=2058-94-8;C11HF21O2;OC(=O)C(F)(F)C(F)(F)C(F)(F)C(F)(F)C(F)(F)C(F)(F)C(F)(F)C(F)(F)C(F)(F)C(F)(F)F | 4_PFUdA|(M-H)-|DTXSID8047553|CAS=2058-94-8;C11HF21O2;OC(=O)C(F)(F)C(F)(F)C(F)(F)C(F)(F)C(F)(F)C(F)(F)C(F)(F)C(F)(F)C(F)(F)C(F)(F)F</t>
  </si>
  <si>
    <t>[CF2]n_2</t>
  </si>
  <si>
    <t>2,2,3,3,4,4,5,5-Octafluoro-1,6-hexanediamine</t>
  </si>
  <si>
    <t>(Dimethoxymethyl)(3,3,4,4,5,5,6,6,6-nonafluorohexyl)silane</t>
  </si>
  <si>
    <t>14-H-Perfluorotetradecanoic acid</t>
  </si>
  <si>
    <t>3-[3,3,3-Trifluoro-2-hydroxy-2-(trifluoromethyl)propyl]oxolan-2-one/3-[3,3,3-Trifluoro-2-hydroxy-2-(trifluoromethyl)propyl]oxolan-2-one/3-[3,3,3-Trifluoro-2-hydroxy-2-(trifluoromethyl)propyl]oxolan-2-one</t>
  </si>
  <si>
    <t>4-Bromo-2-[4,4,5,5,6,6,7,7,8,9,9,9-dodecafluoro-8-(trifluoromethyl)nonyl]phenol</t>
  </si>
  <si>
    <t>1H-Pyrazol-5-ol, 1-phenyl-3-(1,1,2,2-tetrafluoroethyl)-/2,2,3,3,4,4,5,5-Octafluoro-1,6-hexanediamine</t>
  </si>
  <si>
    <t>[2-(3-chloro-1,1,2,2,3,3-hexafluoropropoxy)-1,1,2,3,3,3-hexafluoropropoxy](difluoro)acetic acid/Perfluoro-1-(perfluoroethyl)cyclohexanesulfonic acid/Perfluoro-1-(perfluoroethyl)cyclohexanesulfonic acid/Perfluoro-1-(perfluoroethyl)cyclohexanesulfonic acid</t>
  </si>
  <si>
    <t>C8HF15O3S</t>
  </si>
  <si>
    <t>"OS(=O)(=O)C1C(F)C(F)C(F)C(F)(F)C1(F)F.F*.F*.F*.FC(F)(F)C(F)(F)* |lp:0:2,2:2,3:2,6:3,8:3,10:3,12:3,13:3,15:3,16:3,17:3,19:3,21:3,23:3,25:3,26:3,28:3,29:3,m:18:9.7,20:7.5,22:5.4,30:9.7.5.4|"</t>
  </si>
  <si>
    <t>4_PFECHS|(M-H)-|DTXSID50892472|CAS=133201-07-7;C8HF15O3S;"OS(=O)(=O)C1C(F)C(F)C(F)C(F)(F)C1(F)F.F*.F*.F*.FC(F)(F)C(F)(F)* |lp:0:2,2:2,3:2,6:3,8:3,10:3,12:3,13:3,15:3,16:3,17:3,19:3,21:3,23:3,25:3,26:3,28:3,29:3,m:18:9.7,20:7.5,22:5.4,30:9.7.5.4|" | 4_PFECHS|(M-H)-|DTXSID50892472|CAS=133201-07-7;C8F15HO3S;"OS(=O)(=O)C1C(F)C(F)C(F)C(F)(F)C1(F)F.F*.F*.F*.FC(F)(F)C(F)(F)* |lp:0:2,2:2,3:2,6:3,8:3,10:3,12:3,13:3,15:3,16:3,17:3,19:3,21:3,23:3,25:3,26:3,28:3,29:3,m:18:9.7,20:7.5,22:5.4,30:9.7.5.4|"</t>
  </si>
  <si>
    <t>3,3,4,4,5,5,6,6,7,7,8,8-dodecafluoro-2-methyloctan-2-ol/3,3,4,4,5,5,6,6,7,7,8,8-dodecafluoro-2-methyloctan-2-ol</t>
  </si>
  <si>
    <t>(Heptadecafluorooctyl)silane</t>
  </si>
  <si>
    <t>Benzamide, 2,6-difluoro-N-(((4-((1,1,2,2- tetrafluoroethyl)thio)phenyl)amino)carbonyl)-</t>
  </si>
  <si>
    <t>12-H-Perfluorododecanoic acid</t>
  </si>
  <si>
    <t>2,2'-(2,3,5,6-Tetrafluoro-1,4-phenylene)bis(hexafluoropropan-2-ol)</t>
  </si>
  <si>
    <t>D+</t>
  </si>
  <si>
    <t>Ethyl 4,4,5,5,5-pentafluoro-3-hydroxypentanoate</t>
  </si>
  <si>
    <t>Lvl 5 Schymanski: No ID, possible PFAS:  Mass defect falling within -0.11 and 0.12 OR exact mass match, and 3+ within homologous series</t>
  </si>
  <si>
    <t>[CF2]n_23</t>
  </si>
  <si>
    <t>Ethyl 4,4,5,5-tetrafluoro-3-hydroxypent-2-enoate</t>
  </si>
  <si>
    <t>2-(1,1,1,3,3,3-Hexafluoro-2-hydroxypropan-2-yl)naphthalen-1-ol</t>
  </si>
  <si>
    <t>1,4-Bis[(2,2,3,3,4,4,5,5-octafluoropentyl)oxy]-1,4-dioxobutane-2-sulfonic acid</t>
  </si>
  <si>
    <t>2,5-Octanedione, 7-hydroxy-8,8,8-trifluoro-7-trifluoromethyl-</t>
  </si>
  <si>
    <t>2,3,3,4,5,5,6,6,6-Nonafluoro-2,4-bis(trifluoromethyl)hexanoic acid/2,3,3,4,5,5,6,6,6-Nonafluoro-2,4-bis(trifluoromethyl)hexanoic acid/2,3,3,4,5,5,6,6,6-Nonafluoro-2,4-bis(trifluoromethyl)hexanoic acid/2,3,3,4,5,5,6,6,6-Nonafluoro-2,4-bis(trifluoromethyl)hexanoic acid/2,3,3,4,5,5,6,6,6-Nonafluoro-2,4-bis(trifluoromethyl)hexanoic acid/2,3,3,4,5,5,6,6,6-Nonafluoro-2,4-bis(trifluoromethyl)hexanoic acid/2,3,3,4,5,5,6,6,6-Nonafluoro-2,4-bis(trifluoromethyl)hexanoic acid/2,3,3,4,5,5,6,6,6-Nonafluoro-2,4-bis(trifluoromethyl)hexanoic acid/2,3,3,4,5,5,6,6,6-Nonafluoro-2,4-bis(trifluoromethyl)hexanoic acid/2,3,3,4,5,5,6,6,6-Nonafluoro-2,4-bis(trifluoromethyl)hexanoic acid/2,3,3,4,5,5,6,6,6-Nonafluoro-2,4-bis(trifluoromethyl)hexanoic acid/2,3,3,4,5,5,6,6,6-Nonafluoro-2,4-bis(trifluoromethyl)hexanoic acid/2,3,3,4,5,5,6,6,6-Nonafluoro-2,4-bis(trifluoromethyl)hexanoic acid/2,3,3,4,5,5,6,6,6-Nonafluoro-2,4-bis(trifluoromethyl)hexanoic acid/2,3,3,4,5,5,6,6,6-Nonafluoro-2,4-bis(trifluoromethyl)hexanoic acid/2,3,3,4,5,5,6,6,6-Nonafluoro-2,4-bis(trifluoromethyl)hexanoic acid/2,3,3,4,5,5,6,6,6-Nonafluoro-2,4-bis(trifluoromethyl)hexanoic acid/2,3,3,4,5,5,6,6,6-Nonafluoro-2,4-bis(trifluoromethyl)hexanoic acid/2,3,3,4,5,5,6,6,6-Nonafluoro-2,4-bis(trifluoromethyl)hexanoic acid/2,3,3,4,5,5,6,6,6-Nonafluoro-2,4-bis(trifluoromethyl)hexanoic acid/2,3,3,4,5,5,6,6,6-Nonafluoro-2,4-bis(trifluoromethyl)hexanoic acid/2,3,3,4,5,5,6,6,6-Nonafluoro-2,4-bis(trifluoromethyl)hexanoic acid/2,3,3,4,5,5,6,6,6-Nonafluoro-2,4-bis(trifluoromethyl)hexanoic acid/2,3,3,4,5,5,6,6,6-Nonafluoro-2,4-bis(trifluoromethyl)hexanoic acid/2,3,3,4,5,5,6,6,6-Nonafluoro-2,4-bis(trifluoromethyl)hexanoic acid/2,3,3,4,5,5,6,6,6-Nonafluoro-2,4-bis(trifluoromethyl)hexanoic acid/2,3,3,4,5,5,6,6,6-Nonafluoro-2,4-bis(trifluoromethyl)hexanoic acid/2,3,3,4,5,5,6,6,6-Nonafluoro-2,4-bis(trifluoromethyl)hexanoic acid/2,3,3,4,5,5,6,6,6-Nonafluoro-2,4-bis(trifluoromethyl)hexanoic acid/2,3,3,4,5,5,6,6,6-Nonafluoro-2,4-bis(trifluoromethyl)hexanoic acid/2,3,3,4,5,5,6,6,6-Nonafluoro-2,4-bis(trifluoromethyl)hexanoic acid/2,3,3,4,5,5,6,6,6-Nonafluoro-2,4-bis(trifluoromethyl)hexanoic acid/2,3,3,4,5,5,6,6,6-Nonafluoro-2,4-bis(trifluoromethyl)hexanoic acid/2,3,3,4,5,5,6,6,6-Nonafluoro-2,4-bis(trifluoromethyl)hexanoic acid/2,3,3,4,5,5,6,6,6-Nonafluoro-2,4-bis(trifluoromethyl)hexanoic acid/2,3,3,4,5,5,6,6,6-Nonafluoro-2,4-bis(trifluoromethyl)hexanoic acid/2,3,3,4,5,5,6,6,6-Nonafluoro-2,4-bis(trifluoromethyl)hexanoic acid/2,3,3,4,5,5,6,6,6-Nonafluoro-2,4-bis(trifluoromethyl)hexanoic acid/2,3,3,4,5,5,6,6,6-Nonafluoro-2,4-bis(trifluoromethyl)hexanoic acid</t>
  </si>
  <si>
    <t>2,5-Octanedione, 7-hydroxy-8,8,8-trifluoro-7-trifluoromethyl-/5-(Heptafluoropropyl)-N,1-dimethyl-1H-1,2,4-triazol-3-amine</t>
  </si>
  <si>
    <t>2,2,3,3,4,4,4-heptafluoro-n'-(2,2,3,3,4,4,4-heptafluorobutanoyl)butanehydrazide</t>
  </si>
  <si>
    <t>(1z,6z)-2,2,3,3,4,4,5,5-octafluorohexanediimidamide</t>
  </si>
  <si>
    <t>13-H-Perfluorotridecanoic acid</t>
  </si>
  <si>
    <t>X1543.18.d.DeMP</t>
  </si>
  <si>
    <t>4_PFDA|(M-H-CO2)-|DTXSID3031860|CAS=335-76-2;C10HF19O2;OC(=O)C(F)(F)C(F)(F)C(F)(F)C(F)(F)C(F)(F)C(F)(F)C(F)(F)C(F)(F)C(F)(F)F | 4_13C6- PFDA|(M-H-CO2)-|NA|CAS=NA;C10HF19O2;NA | 4_PFDA|(M-H-CO2)-|DTXSID3031860|CAS=335-76-2;C10HF19O2;OC(=O)C(F)(F)C(F)(F)C(F)(F)C(F)(F)C(F)(F)C(F)(F)C(F)(F)C(F)(F)C(F)(F)F</t>
  </si>
  <si>
    <t>[CF2]n_51</t>
  </si>
  <si>
    <t>4_PFUdA|(M-H-CO2)-|DTXSID8047553|CAS=2058-94-8;C11HF21O2;OC(=O)C(F)(F)C(F)(F)C(F)(F)C(F)(F)C(F)(F)C(F)(F)C(F)(F)C(F)(F)C(F)(F)C(F)(F)F | 4_13C7- PFUdA|(M-H-CO2)-|NA|CAS=NA;C11HF21O2;NA | 4_PFUdA|(M-H-CO2)-|DTXSID8047553|CAS=2058-94-8;C11HF21O2;OC(=O)C(F)(F)C(F)(F)C(F)(F)C(F)(F)C(F)(F)C(F)(F)C(F)(F)C(F)(F)C(F)(F)C(F)(F)F</t>
  </si>
  <si>
    <t>[CF2]n_13</t>
  </si>
  <si>
    <t>PFBA|(M-H-CO2)-|DTXSID4059916|CAS=375-22-4</t>
  </si>
  <si>
    <t>C4HF7O2</t>
  </si>
  <si>
    <t>OC(=O)C(F)(F)C(F)(F)C(F)(F)F</t>
  </si>
  <si>
    <t>4_PFBA|(M-H-CO2)-|DTXSID4059916|CAS=375-22-4;C4HF7O2;OC(=O)C(F)(F)C(F)(F)C(F)(F)F | 4_PFBA|(M-H-CO2)-|DTXSID4059916|CAS=375-22-4;C4HF7O2;OC(=O)C(F)(F)C(F)(F)C(F)(F)F</t>
  </si>
  <si>
    <t>4_PFTrDA|(M-H-CO2)-|DTXSID20892489|CAS=862374-87-6;C13HF25O2;OC(=O)C(F)(F)C(F)(F)C(F)(F)C(F)(F)C(F)(F)C(F)(F)C(F)(F)C(F)(F)C(F)(F)C(F)(F)C(F)(F)C(F)(F)F | 4_PFTrDA|(M-H-CO2)-|DTXSID20892489|CAS=862374-87-6;C13HF25O2;OC(=O)C(F)(F)C(F)(F)C(F)(F)C(F)(F)C(F)(F)C(F)(F)C(F)(F)C(F)(F)C(F)(F)C(F)(F)C(F)(F)C(F)(F)F</t>
  </si>
  <si>
    <t>[CF2]n_24</t>
  </si>
  <si>
    <t>4_PFNA|(M-H-CO2)-|DTXSID8031863|CAS=375-95-1;C9HF17O2;OC(=O)C(F)(F)C(F)(F)C(F)(F)C(F)(F)C(F)(F)C(F)(F)C(F)(F)C(F)(F)F | 4_13C9- PFNA|(M-H-CO2)-|NA|CAS=NA;C9HF17O2;NA | 4_PFNA|(M-H-CO2)-|DTXSID8031863|CAS=375-95-1;C9HF17O2;OC(=O)C(F)(F)C(F)(F)C(F)(F)C(F)(F)C(F)(F)C(F)(F)C(F)(F)C(F)(F)F</t>
  </si>
  <si>
    <t>[CF2]n_25</t>
  </si>
  <si>
    <t>[CF2]n_27</t>
  </si>
  <si>
    <t>4_PFDoA|(M-H-CO2)-|DTXSID8031861|CAS=307-55-1;C12HF23O2;OC(=O)C(F)(F)C(F)(F)C(F)(F)C(F)(F)C(F)(F)C(F)(F)C(F)(F)C(F)(F)C(F)(F)C(F)(F)C(F)(F)F | 4_13C2- PFDoA|(M-H-CO2)-|NA|CAS=NA;C12HF23O2;NA | 4_PFDoA|(M-H-CO2)-|DTXSID8031861|CAS=307-55-1;C12HF23O2;OC(=O)C(F)(F)C(F)(F)C(F)(F)C(F)(F)C(F)(F)C(F)(F)C(F)(F)C(F)(F)C(F)(F)C(F)(F)C(F)(F)F</t>
  </si>
  <si>
    <t>[CF2]n_31</t>
  </si>
  <si>
    <t>[CF2]n_39</t>
  </si>
  <si>
    <t>[CF2]n_35</t>
  </si>
  <si>
    <t>[CF2]n_42</t>
  </si>
  <si>
    <t>[CF2]n_18</t>
  </si>
  <si>
    <t>[CF2]n_36</t>
  </si>
  <si>
    <t>[CF2]n_5</t>
  </si>
  <si>
    <t>[CF2]n_3</t>
  </si>
  <si>
    <t>[CF2]n_48</t>
  </si>
  <si>
    <t>[CF2]n_46</t>
  </si>
  <si>
    <t>[CF2]n_28</t>
  </si>
  <si>
    <t>[CF2]n_34</t>
  </si>
  <si>
    <t>[CF2]n_29</t>
  </si>
  <si>
    <t>PFHxDA|(M-H-CO2)-|DTXSID1070800|CAS=67905-19-5</t>
  </si>
  <si>
    <t>C16HF31O2</t>
  </si>
  <si>
    <t>OC(=O)C(F)(F)C(F)(F)C(F)(F)C(F)(F)C(F)(F)C(F)(F)C(F)(F)C(F)(F)C(F)(F)C(F)(F)C(F)(F)C(F)(F)C(F)(F)C(F)(F)C(F)(F)F</t>
  </si>
  <si>
    <t>4_PFHxDA|(M-H-CO2)-|DTXSID1070800|CAS=67905-19-5;C16HF31O2;OC(=O)C(F)(F)C(F)(F)C(F)(F)C(F)(F)C(F)(F)C(F)(F)C(F)(F)C(F)(F)C(F)(F)C(F)(F)C(F)(F)C(F)(F)C(F)(F)C(F)(F)C(F)(F)F | 4_PFHxDA|(M-H-CO2)-|DTXSID1070800|CAS=67905-19-5;C16HF31O2;OC(=O)C(F)(F)C(F)(F)C(F)(F)C(F)(F)C(F)(F)C(F)(F)C(F)(F)C(F)(F)C(F)(F)C(F)(F)C(F)(F)C(F)(F)C(F)(F)C(F)(F)C(F)(F)F</t>
  </si>
  <si>
    <t>PFOA|(M-H-CO2)-|DTXSID40892486|CAS=45285-51-6</t>
  </si>
  <si>
    <t>C8HF15O2</t>
  </si>
  <si>
    <t>OC(=O)C(F)(F)C(F)(F)C(F)(F)C(F)(F)C(F)(F)C(F)(F)C(F)(F)F</t>
  </si>
  <si>
    <t>4_PFOA|(M-H-CO2)-|DTXSID40892486|CAS=45285-51-6;C8HF15O2;OC(=O)C(F)(F)C(F)(F)C(F)(F)C(F)(F)C(F)(F)C(F)(F)C(F)(F)F | 4_13C8- PFOA|(M-H-CO2)-|NA|CAS=NA;C8HF15O2;NA | 4_PFOA|(M-H-CO2)-|DTXSID40892486|CAS=45285-51-6;C8HF15O2;OC(=O)C(F)(F)C(F)(F)C(F)(F)C(F)(F)C(F)(F)C(F)(F)C(F)(F)F</t>
  </si>
  <si>
    <t>9Cl-PFNA|(M-H-CO2)-|NA|CAS=NA</t>
  </si>
  <si>
    <t>C9HClF16O2</t>
  </si>
  <si>
    <t>4_9Cl-PFNA|(M-H-CO2)-|NA|CAS=NA;C9HClF16O2;NA | 4_9Cl-PFNA|(M-H-CO2)-|NA|CAS=865-79-2;C9HClF16O2;NA</t>
  </si>
  <si>
    <t>Detection frequency</t>
  </si>
  <si>
    <t>Likely</t>
  </si>
  <si>
    <t>EPA match</t>
  </si>
  <si>
    <t>No match</t>
  </si>
  <si>
    <t>Notes</t>
  </si>
  <si>
    <t>exclude (RT &lt; 2 min)</t>
  </si>
  <si>
    <t>MoleculeGroup</t>
  </si>
  <si>
    <t>PrecursorName</t>
  </si>
  <si>
    <t>PrecursorCCS</t>
  </si>
  <si>
    <t>PrecursorRT</t>
  </si>
  <si>
    <t>PrecursorMz</t>
  </si>
  <si>
    <t>PrecursorCharge</t>
  </si>
  <si>
    <t>investigate</t>
  </si>
  <si>
    <t>exclude (noise)</t>
  </si>
  <si>
    <t>exclude (present in SIL blanks)</t>
  </si>
  <si>
    <t>exclude (PFOS drift smearing)</t>
  </si>
  <si>
    <t>ID notes</t>
  </si>
  <si>
    <t>Cl-PFOS</t>
  </si>
  <si>
    <t>multiple drift peaks</t>
  </si>
  <si>
    <t>PFCA?</t>
  </si>
  <si>
    <t>duplicate (br-PFOS)</t>
  </si>
  <si>
    <t>duplicate (br-PFNS)</t>
  </si>
  <si>
    <t>duplicate (br-PFDS)</t>
  </si>
  <si>
    <t>br-PFCA PSD?</t>
  </si>
  <si>
    <t>exclude (present in blanks)</t>
  </si>
  <si>
    <t>exclude (present in SIL)</t>
  </si>
  <si>
    <t>also maybe an M+1 of something in the gators?</t>
  </si>
  <si>
    <t>PFCA PSD?</t>
  </si>
  <si>
    <t>also PSD and maybe an M+1 of something in the gators?</t>
  </si>
  <si>
    <t>higher in SRM</t>
  </si>
  <si>
    <t>exclude (smear)</t>
  </si>
  <si>
    <t>noise: present throughout chromatogram</t>
  </si>
  <si>
    <t>present in blanks: peak is present in all types of blanks</t>
  </si>
  <si>
    <t>present in SIL blanks: peak is present in the heavy spiked blanks indicating it's from an internal standard</t>
  </si>
  <si>
    <t>duplicate: clearly the peak is a duplicate of a PFAS already in our library</t>
  </si>
  <si>
    <t>smear: peak is part of a tail of the m/z of something else</t>
  </si>
  <si>
    <t>drift smear: peak is part of a drift tail of something with the same m/z</t>
  </si>
  <si>
    <t>looks like a branched peak is there too with lower RT</t>
  </si>
  <si>
    <t>br-PFCA?</t>
  </si>
  <si>
    <t>possibly PSD, several distinct peaks throughout gradient</t>
  </si>
  <si>
    <t>PSD: post-source decay, typically of a dimer or multimer that broke apart after drift tube and before TOF</t>
  </si>
  <si>
    <t>this series could be PSD of a class of PFAS?</t>
  </si>
  <si>
    <t>MoleculeNote</t>
  </si>
  <si>
    <t/>
  </si>
  <si>
    <t>EPA match - investigate</t>
  </si>
  <si>
    <t>No match - investigate</t>
  </si>
  <si>
    <t>rowID</t>
  </si>
  <si>
    <t>Samples from PIMMS</t>
  </si>
  <si>
    <t>Fragments from Browser</t>
  </si>
  <si>
    <t>MS1 signal</t>
  </si>
  <si>
    <t>112.0083, 113.0055, 92.0286, 93.0366</t>
  </si>
  <si>
    <t>Yes, and M+1 (165.0573, 166.0593)</t>
  </si>
  <si>
    <t>2286, 2021B, 2022C</t>
  </si>
  <si>
    <t>126.0017, 131.0144, 130.0186, 180.0087</t>
  </si>
  <si>
    <t>Some signal in both low and high frames at 180.0087</t>
  </si>
  <si>
    <t>2019B, 2022B</t>
  </si>
  <si>
    <t>2022C</t>
  </si>
  <si>
    <t>2019C</t>
  </si>
  <si>
    <t>2018B, 2019C</t>
  </si>
  <si>
    <t>2019B</t>
  </si>
  <si>
    <t>2021B</t>
  </si>
  <si>
    <t>2022B</t>
  </si>
  <si>
    <t>2 RT peaks (11.9 min and 13.2 min)</t>
  </si>
  <si>
    <t>roundedMZ</t>
  </si>
  <si>
    <t>roundedRT</t>
  </si>
  <si>
    <t>roundedCCS</t>
  </si>
  <si>
    <t>RoundedMz</t>
  </si>
  <si>
    <t>present in MS1 list?</t>
  </si>
  <si>
    <t>investigate - PFEESA isomer at different RT</t>
  </si>
  <si>
    <t>investigate - different CCS than PFECHS, likely U-PFOS?</t>
  </si>
  <si>
    <t>investigate - PFOA M-H?</t>
  </si>
  <si>
    <t>investigate - close-ish to 8Cl-PFOS</t>
  </si>
  <si>
    <t>investigate - no library matches</t>
  </si>
  <si>
    <t>investigate - PFDA PSD?</t>
  </si>
  <si>
    <t>not new. PFDoA PSD - confirm by adding dimer CCSs to library</t>
  </si>
  <si>
    <t>not new. PFDA PSD - confirm by adding dimer CCSs to library</t>
  </si>
  <si>
    <t>not new. PFTeDA PSD - confirm by adding dimer CCSs to library</t>
  </si>
  <si>
    <t>not new. PFUdA PSD - confirm by adding dimer CCSs to library</t>
  </si>
  <si>
    <t>not new. PFTrDA PSD - confirm by adding dimer CCSs to library</t>
  </si>
  <si>
    <t>not new. duplicate br-PFOS</t>
  </si>
  <si>
    <t>not new. PFDoA PSD</t>
  </si>
  <si>
    <t>not new. PFDA PSD</t>
  </si>
  <si>
    <t>not new. PFUdA PSD</t>
  </si>
  <si>
    <t>investigate - PFPeDA M-H-CO2?</t>
  </si>
  <si>
    <t>not new. PFNA PSD</t>
  </si>
  <si>
    <t>not new. PFHxDA PSD</t>
  </si>
  <si>
    <t>investigate - no library matches, series with 2318?</t>
  </si>
  <si>
    <t>not new. Heavy N-EtFOSAA PSD</t>
  </si>
  <si>
    <t>not new. PFTrDA PSD</t>
  </si>
  <si>
    <t>RT typo, this is an in source/post source fragment</t>
  </si>
  <si>
    <t>Evidence</t>
  </si>
  <si>
    <t>investigate - PFOA M-H? EPA library is a br-PFOA</t>
  </si>
  <si>
    <t>series with 1692 and 2318</t>
  </si>
  <si>
    <t>confirmed</t>
  </si>
  <si>
    <t>8:2 FTS confirmed</t>
  </si>
  <si>
    <t>Not PFNA. C8F17 in source fragment</t>
  </si>
  <si>
    <t>Not PFOS. Tailing peak</t>
  </si>
  <si>
    <t>confirmed PFUdA</t>
  </si>
  <si>
    <t>br-PFUdA?</t>
  </si>
  <si>
    <t>Tentative (no match)</t>
  </si>
  <si>
    <t>Tentative (EPA match)</t>
  </si>
  <si>
    <t>investigate - PFPeDA M-H-CO2? Need to add values from fish to library</t>
  </si>
  <si>
    <t>Likely - investigate</t>
  </si>
  <si>
    <t>C3F7O in source fragment?</t>
  </si>
  <si>
    <t>Skyline: PIMMS-MS1-priority-features</t>
  </si>
  <si>
    <t>C12H2F16O2</t>
  </si>
  <si>
    <t>C8HF17O4S</t>
  </si>
  <si>
    <t>C11H10F4O4</t>
  </si>
  <si>
    <t>C8H3F17Si</t>
  </si>
  <si>
    <t>investigate - no Baker library matches</t>
  </si>
  <si>
    <t>investigate - no Baker  library matches</t>
  </si>
  <si>
    <t>Others to investigate</t>
  </si>
  <si>
    <t>6811 isobar 1</t>
  </si>
  <si>
    <t>6811 isobar 2</t>
  </si>
  <si>
    <t>no drift aligned PFOS signal in this one.</t>
  </si>
  <si>
    <t>in SIL blanks, drift aligned with 545 peak, bigger lower drift peak at same m/z. More interesting could be the peak at a lower m/z (480.9370) showing up at 10.2 min (and others). Alternate formula: C10F19 (closer m/z)</t>
  </si>
  <si>
    <t>PrecursorFormula</t>
  </si>
  <si>
    <t>PrecursorAdduct</t>
  </si>
  <si>
    <t>C8F16HSO3</t>
  </si>
  <si>
    <t>M-</t>
  </si>
  <si>
    <t>Tentative</t>
  </si>
  <si>
    <t>found from tailing peak in Skyline. Browser does show an M+1 peak (gator 2246), drift aligned with PFOS. C8F16HSO3 (H-substituted PFOS)? Imported to Skyline to calculate CCS</t>
  </si>
  <si>
    <t>series with 2318 and 2857 - check Kaylie SPATT lines</t>
  </si>
  <si>
    <t xml:space="preserve">series with 2857 and 1692. </t>
  </si>
  <si>
    <t>investigate - CCS and RT look like 8Cl-PFOS but exact mass is 42 ppm off. Could be PFHxESA?</t>
  </si>
  <si>
    <t>investigate - no Baker library matches, series with 2318? PFHpESA?</t>
  </si>
  <si>
    <t xml:space="preserve">br-PFUdA? </t>
  </si>
  <si>
    <t>C5HF11O4S</t>
  </si>
  <si>
    <t>M-H-</t>
  </si>
  <si>
    <t>MoleculeName</t>
  </si>
  <si>
    <t>C6HF13O4S</t>
  </si>
  <si>
    <t>C7HF15O4S</t>
  </si>
  <si>
    <t>Adduct</t>
  </si>
  <si>
    <t>PubChem</t>
  </si>
  <si>
    <t>yes</t>
  </si>
  <si>
    <t>PFPrESA</t>
  </si>
  <si>
    <t xml:space="preserve"> (Compound 4)</t>
  </si>
  <si>
    <t>PFBESA</t>
  </si>
  <si>
    <t xml:space="preserve"> (Compound 5)</t>
  </si>
  <si>
    <t>PFPeESA</t>
  </si>
  <si>
    <t xml:space="preserve"> (Compound 6)</t>
  </si>
  <si>
    <t>investigate - PFEESA isomer at different RT. Strong M+2 peak at 316.9344</t>
  </si>
  <si>
    <t>investigate - PFEESA isomer at different RT? Also a peak at 9.7 min with lower DT</t>
  </si>
  <si>
    <t>1692 isobar</t>
  </si>
  <si>
    <t>C4HF9O4S? Strong M+2 peak</t>
  </si>
  <si>
    <t>ID</t>
  </si>
  <si>
    <t>PFHxESA / C8HF17O4S M-H-</t>
  </si>
  <si>
    <t>PFHpESA / C9HF19O4S M-H-</t>
  </si>
  <si>
    <t>series with 1692 and 2318. Some samples have branched isomer at lower RT/lower DT. Should see a C7F15O fragment (384.9710). MS2: use caution, overlaps 548 and 598</t>
  </si>
  <si>
    <t>PFAESA</t>
  </si>
  <si>
    <t>C9HF19O4S</t>
  </si>
  <si>
    <t>ProductName</t>
  </si>
  <si>
    <t>ProductFormula</t>
  </si>
  <si>
    <t>ProductMz</t>
  </si>
  <si>
    <t>ProductAdduct</t>
  </si>
  <si>
    <t>precursor</t>
  </si>
  <si>
    <t>C4F9O</t>
  </si>
  <si>
    <t>C5F11O</t>
  </si>
  <si>
    <t>C6F13O</t>
  </si>
  <si>
    <t>C7F15O</t>
  </si>
  <si>
    <t>C3F7O</t>
  </si>
  <si>
    <t>C2F5O</t>
  </si>
  <si>
    <t>series with 2857 and 1692. Some samples have a branched isomer at higher RT/lower DT. MS2 (sample 1531): faint precursor signal, caution bc overlaps with tail of PFOS. Should see a C6F13O fragment (334.9742) - saw in gator 1638</t>
  </si>
  <si>
    <t>PFEESA</t>
  </si>
  <si>
    <t>investigate - different CCS than PFECHS, likely U-PFOS? Multiple drift and RT isomers</t>
  </si>
  <si>
    <t>U-PFOS / C8HF15O3S M-H-</t>
  </si>
  <si>
    <t>Confidence Level</t>
  </si>
  <si>
    <t>U-PFOS</t>
  </si>
  <si>
    <t>C2F5</t>
  </si>
  <si>
    <t>C3F5</t>
  </si>
  <si>
    <t>C4F7</t>
  </si>
  <si>
    <t>PFECHS</t>
  </si>
  <si>
    <t>C8F15</t>
  </si>
  <si>
    <t>SO3</t>
  </si>
  <si>
    <t>SO3F</t>
  </si>
  <si>
    <t>diagnostic evidence - detected in water</t>
  </si>
  <si>
    <t>na</t>
  </si>
  <si>
    <t>drift aligned with heavy PFOA. Need to add it to the library</t>
  </si>
  <si>
    <t>In source fragment of another ether? C3F7O likely? RT is close to feature 1692</t>
  </si>
  <si>
    <t>PFECA</t>
  </si>
  <si>
    <t>HFPO-DA</t>
  </si>
  <si>
    <t>C6HF11O3</t>
  </si>
  <si>
    <t>[M-H-CO2]-</t>
  </si>
  <si>
    <t>HFPO-TeA (dimer)</t>
  </si>
  <si>
    <t>[M-H]-</t>
  </si>
  <si>
    <t>HFPO-TeA</t>
  </si>
  <si>
    <t>C12HF23O5</t>
  </si>
  <si>
    <t>HFPO-TrA</t>
  </si>
  <si>
    <t>HFPO-TrA (dimer)</t>
  </si>
  <si>
    <t>C9HF17O4</t>
  </si>
  <si>
    <t>HFPO-DA (dimer)</t>
  </si>
  <si>
    <t>1413 at 7.3</t>
  </si>
  <si>
    <t>1413 at 10.7</t>
  </si>
  <si>
    <t>1413 at 11.2</t>
  </si>
  <si>
    <t>1413 at 12.5</t>
  </si>
  <si>
    <t>[2M-H]-</t>
  </si>
  <si>
    <t>C10HF19O4</t>
  </si>
  <si>
    <t>C11HF21O4</t>
  </si>
  <si>
    <t>C10HF19O5</t>
  </si>
  <si>
    <t>C11HF21O5</t>
  </si>
  <si>
    <t>C3F7O with no DT</t>
  </si>
  <si>
    <t>Seen at RTs 7.3, 10.7, 11.2, 12.5. Higher DT (27.8 ms) peak seen at 13.4 min in 1 sample</t>
  </si>
  <si>
    <t>PFPeDA</t>
  </si>
  <si>
    <t>M-H-CO2-</t>
  </si>
  <si>
    <t>C15HF29O2</t>
  </si>
  <si>
    <t>d</t>
  </si>
  <si>
    <t>PFPeDA M-H-CO2 with M-H- CCS</t>
  </si>
  <si>
    <t>PFUdA</t>
  </si>
  <si>
    <t>168.9931, 118.9934</t>
  </si>
  <si>
    <t>MS2 notes</t>
  </si>
  <si>
    <t>IS signal is stronger than native</t>
  </si>
  <si>
    <t>M-H- overlaps with PFDS</t>
  </si>
  <si>
    <t>318.9774, 294.9014?, 218.9856, 168.9882, 118.9717</t>
  </si>
  <si>
    <t>br-PFUdA</t>
  </si>
  <si>
    <t>aligned with 5135</t>
  </si>
  <si>
    <t>found close to 5135</t>
  </si>
  <si>
    <t>actually 3+ peaks (11.0, 10.9, 10.8), all drift aligned with m/z 592.9495. MS2 frags: 262.9455, 212.9778, 184.9842 (11.0 and 10.8 peaks only), 168.9565 (11.0 peak only), 142.9284 (10.9 peak only), 138.9718 (10.8 peak only), 121.9447, 118.9721, 106.9973, 79.9593, 72.9958. Check against Kaylie's Compound 7</t>
  </si>
  <si>
    <t>investigate - PFDA PSD? RT and CCS align with PFDA M-H-. Mass error too high to be a PFHpS isomer. C8H3F7Si seems unlikely, should have a 13% M+1 peak but we don't see one. Also feature mz 450.928 is there with each detection - suggests a double bond?</t>
  </si>
  <si>
    <t>UnknownID5135</t>
  </si>
  <si>
    <t>448 at 11.0</t>
  </si>
  <si>
    <t>448 at 10.9</t>
  </si>
  <si>
    <t>448 at 10.8</t>
  </si>
  <si>
    <t>448 all peaks</t>
  </si>
  <si>
    <t>Compound 7 m/z = 492.9232, +2(CF2) = 592.9163. Not it</t>
  </si>
  <si>
    <t>Mass error too high to be a PFHpS isomer</t>
  </si>
  <si>
    <t>RT and CCS align with PFDA M-H-</t>
  </si>
  <si>
    <t>C5F9O2 = 262.9755</t>
  </si>
  <si>
    <t>C4F7O2 = 212.9787</t>
  </si>
  <si>
    <t>C3F7O = 184.9837</t>
  </si>
  <si>
    <t>C3F7 = 168.9888</t>
  </si>
  <si>
    <t>C2F5 = 118.9920</t>
  </si>
  <si>
    <t>? = 142.9284</t>
  </si>
  <si>
    <t>? = 138.9718</t>
  </si>
  <si>
    <t>? = 121.9447</t>
  </si>
  <si>
    <t>? = 106.9973</t>
  </si>
  <si>
    <t>? = 72.9958</t>
  </si>
  <si>
    <t>592/448 fragments:</t>
  </si>
  <si>
    <t>592 all peaks</t>
  </si>
  <si>
    <t>628 all peaks</t>
  </si>
  <si>
    <t>450/628 fragments (caution: coelutes and is drift aligned with PFNS, but signal from 450 is stronger)</t>
  </si>
  <si>
    <t>SO3 = 79.9593 (coelutes/drift aligns close to PFNS though so perhaps not reliable)</t>
  </si>
  <si>
    <t>? = 448.9807 (also in low frame at low level)</t>
  </si>
  <si>
    <t>? = 281.9929, 282.9911, 283.9895. 3rd one is strong, suggests Cl or Br?</t>
  </si>
  <si>
    <t>? = 243.9913</t>
  </si>
  <si>
    <t>C2F5 = 118.9728</t>
  </si>
  <si>
    <t>? = 116.9346</t>
  </si>
  <si>
    <t>? = 96.9277</t>
  </si>
  <si>
    <t>C5F9O2 = 262.9752</t>
  </si>
  <si>
    <t>592.949 - C2F4CO2</t>
  </si>
  <si>
    <t>448 = C8HF16O3? 592 = C11HF20O5?</t>
  </si>
  <si>
    <t>Tentative neutral formula: C11H2F20O5</t>
  </si>
  <si>
    <t>1 PubChem CID with matching formula: 163325041</t>
  </si>
  <si>
    <t>? = 414.9526</t>
  </si>
  <si>
    <t>42 ppm different from Kaylie's cmp5</t>
  </si>
  <si>
    <t>56 ppm different from cmp7+2(CF2)</t>
  </si>
  <si>
    <t>448.9655+SO3C2F4</t>
  </si>
  <si>
    <t>262 and 281/282/283/284 fragments aligned with both 414 drift peaks</t>
  </si>
  <si>
    <t>PFEESA isomer? Compound 4 with CF2 loss. Cmp4 elutes at 7.1 min with CCS of 144.36. Series with m/z 414?</t>
  </si>
  <si>
    <t>found with 5135 investigation</t>
  </si>
  <si>
    <t>found with 5135 investigation, coelutes with m/z 450</t>
  </si>
  <si>
    <t>C10H2F20O6S M-H-</t>
  </si>
  <si>
    <t>C11H2F20O5 with tentative structure</t>
  </si>
  <si>
    <t>contaminantion, but isobars are interesting</t>
  </si>
  <si>
    <t>RT</t>
  </si>
  <si>
    <t>flagged by PIMMS</t>
  </si>
  <si>
    <t>notes</t>
  </si>
  <si>
    <t>found manually</t>
  </si>
  <si>
    <t>C8F16O3SH (1H-substituted PFOS)</t>
  </si>
  <si>
    <t>drift and RT aligned with PFOS and branched isomers</t>
  </si>
  <si>
    <t>1H-PFOS lookalike</t>
  </si>
  <si>
    <t>Unknown 450</t>
  </si>
  <si>
    <t>Unknown 592</t>
  </si>
  <si>
    <t>Unknown 414</t>
  </si>
  <si>
    <t>Unknown 628</t>
  </si>
  <si>
    <t>C8H2F16O3</t>
  </si>
  <si>
    <t>C8H2F16O6</t>
  </si>
  <si>
    <t>C10H2F20O6S</t>
  </si>
  <si>
    <t>C5F9O2</t>
  </si>
  <si>
    <t>C5HF10O2</t>
  </si>
  <si>
    <t>C4F7O2</t>
  </si>
  <si>
    <t>C3F7</t>
  </si>
  <si>
    <t>SO2F</t>
  </si>
  <si>
    <t>M-H-CO2</t>
  </si>
  <si>
    <t>C11H2F20O5</t>
  </si>
  <si>
    <t>C3F6O</t>
  </si>
  <si>
    <t>C3F6O2H</t>
  </si>
  <si>
    <t>C3F6O2</t>
  </si>
  <si>
    <t>C2F4H</t>
  </si>
  <si>
    <t>CO2C2F4O</t>
  </si>
  <si>
    <t>C2F4</t>
  </si>
  <si>
    <t>C2F4O</t>
  </si>
  <si>
    <t>C2F4SO3</t>
  </si>
  <si>
    <t>C2F4SO4</t>
  </si>
  <si>
    <t>C2HF3SO3</t>
  </si>
  <si>
    <t>C2HF3SO4</t>
  </si>
  <si>
    <t>C2HF4O</t>
  </si>
  <si>
    <t>C2HF4</t>
  </si>
  <si>
    <t>414 low</t>
  </si>
  <si>
    <t>414 high</t>
  </si>
  <si>
    <t>261.9852, 132.9589, 82.9619</t>
  </si>
  <si>
    <t>not seen in Skyliine</t>
  </si>
  <si>
    <t>not seen in Skyline</t>
  </si>
  <si>
    <t>low signal but could be there</t>
  </si>
  <si>
    <t>most abundant fragment</t>
  </si>
  <si>
    <t>second most abundant fragment</t>
  </si>
  <si>
    <t>C3HF6O</t>
  </si>
  <si>
    <t>not there</t>
  </si>
  <si>
    <t>seems legit, follows precursor despite low signal</t>
  </si>
  <si>
    <t>not seen in high frames</t>
  </si>
  <si>
    <t>seems legit</t>
  </si>
  <si>
    <t>All fragments tried in Skyline</t>
  </si>
  <si>
    <t>Final fragments in Skyline</t>
  </si>
  <si>
    <t>CF3</t>
  </si>
  <si>
    <t>C5F8O2</t>
  </si>
  <si>
    <t>C5F8O2H2</t>
  </si>
  <si>
    <t>low signal, not super legit</t>
  </si>
  <si>
    <t>there but not diagnostic bc overlaps with 592</t>
  </si>
  <si>
    <t>not there (overlap from signal at 11.2)</t>
  </si>
  <si>
    <t>not there (overlapping from higher drift, PFNS?)</t>
  </si>
  <si>
    <t>drift aligned with 628 and 450</t>
  </si>
  <si>
    <t>slightly lower drift than 592, clear from 450/628</t>
  </si>
  <si>
    <t>not very drift aligned, likely from something else</t>
  </si>
  <si>
    <t>there but not diagnostic bc overlaps with 628</t>
  </si>
  <si>
    <t>drift aligned with 628 and higher 414</t>
  </si>
  <si>
    <t>legit</t>
  </si>
  <si>
    <t>low signal and not well drift aligned, not legit</t>
  </si>
  <si>
    <t>not legit</t>
  </si>
  <si>
    <t>SO2F, remove</t>
  </si>
  <si>
    <t>maybe? Hard to tell, sometimes not drift aligned</t>
  </si>
  <si>
    <t>not diagnostic, at 11.0 min only</t>
  </si>
  <si>
    <t>mass error seems high</t>
  </si>
  <si>
    <t>mass error seems high in some but good in others</t>
  </si>
  <si>
    <t>HF = 20.0062 | H = 1.0078 | H2O = 18.0106</t>
  </si>
  <si>
    <t>seems pretty legit. 243.99+2H?</t>
  </si>
  <si>
    <t>legit. 281.99-HF?</t>
  </si>
  <si>
    <t>most abundant fragment. 261.99+HF?</t>
  </si>
  <si>
    <t>close to 246.01 but m/z is different enough</t>
  </si>
  <si>
    <t>drift aligned with 628 and higher 414. Brominated??</t>
  </si>
  <si>
    <t>Br(CF2)6(CH2)2CO2 - 16 ppm off</t>
  </si>
  <si>
    <t>C8H2F16O3 w/tentative structure</t>
  </si>
  <si>
    <t>fipronil sulfone</t>
  </si>
  <si>
    <t>fipronil sulfone in source fragment</t>
  </si>
  <si>
    <t>C12H4Cl2F6N4O2S M-H- pubchemCID 3078139</t>
  </si>
  <si>
    <t>C12H2O2N4ClF6S</t>
  </si>
  <si>
    <t>C12H2O2N4ClF6S (fipronil sulfone - HCl)</t>
  </si>
  <si>
    <t>PFHxESA</t>
  </si>
  <si>
    <t>PFHpESA</t>
  </si>
  <si>
    <t>1692 high</t>
  </si>
  <si>
    <t>1692 low</t>
  </si>
  <si>
    <t>PFOESA*</t>
  </si>
  <si>
    <t>C10HF21O4S</t>
  </si>
  <si>
    <t>H-substituted polyfluorinated triether acids</t>
  </si>
  <si>
    <t>mz592.95</t>
  </si>
  <si>
    <t>mz628.92</t>
  </si>
  <si>
    <t>mz448.97</t>
  </si>
  <si>
    <t>cmpd9</t>
  </si>
  <si>
    <t>cmpd10</t>
  </si>
  <si>
    <t>C8H2F14O7S</t>
  </si>
  <si>
    <t>C11H2F20O8S</t>
  </si>
  <si>
    <t>Fipronil sulfone</t>
  </si>
  <si>
    <t>C12H4Cl2F6N4O2S</t>
  </si>
  <si>
    <t>Fipronil sulfone -HCl</t>
  </si>
  <si>
    <t>Mystery ether</t>
  </si>
  <si>
    <t>C3F7O fragment</t>
  </si>
  <si>
    <t>not seen</t>
  </si>
  <si>
    <t>isomer peak at 10.8 with lower DT, check fragments</t>
  </si>
  <si>
    <t>isomer peaks at 11.2 with lower DT, check fragments</t>
  </si>
  <si>
    <t>CCS = 0.1924*(m/z) + 72.015</t>
  </si>
  <si>
    <t>PFOESA CCS</t>
  </si>
  <si>
    <t>recalculate lower CCS</t>
  </si>
  <si>
    <t>seen at multiple drift times in 11.2 min window, indicates multimers - characteristic of carboxylic acid</t>
  </si>
  <si>
    <t>M-H-HCl-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</si>
</sst>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1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111827"/>
      <name val="Arial"/>
      <family val="2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9" fontId="0" fillId="0" borderId="0" xfId="1" applyFont="1"/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3" fillId="2" borderId="1" xfId="0" applyFont="1" applyFill="1" applyBorder="1" applyAlignment="1">
      <alignment horizontal="center" vertical="top"/>
    </xf>
    <xf numFmtId="9" fontId="3" fillId="2" borderId="1" xfId="1" applyFont="1" applyFill="1" applyBorder="1" applyAlignment="1">
      <alignment horizontal="center" vertical="top"/>
    </xf>
    <xf numFmtId="0" fontId="4" fillId="0" borderId="0" xfId="0" applyFont="1"/>
    <xf numFmtId="9" fontId="4" fillId="0" borderId="0" xfId="1" applyFont="1"/>
    <xf numFmtId="0" fontId="4" fillId="4" borderId="0" xfId="0" applyFont="1" applyFill="1"/>
    <xf numFmtId="9" fontId="4" fillId="4" borderId="0" xfId="1" applyFont="1" applyFill="1"/>
    <xf numFmtId="0" fontId="3" fillId="4" borderId="1" xfId="0" applyFont="1" applyFill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  <xf numFmtId="0" fontId="5" fillId="0" borderId="0" xfId="0" applyFont="1"/>
    <xf numFmtId="0" fontId="6" fillId="0" borderId="0" xfId="0" applyFont="1"/>
    <xf numFmtId="9" fontId="0" fillId="3" borderId="0" xfId="1" applyFont="1" applyFill="1"/>
    <xf numFmtId="0" fontId="0" fillId="3" borderId="0" xfId="0" applyFill="1" applyAlignment="1">
      <alignment wrapText="1"/>
    </xf>
    <xf numFmtId="0" fontId="4" fillId="3" borderId="0" xfId="0" applyFont="1" applyFill="1"/>
    <xf numFmtId="0" fontId="5" fillId="3" borderId="0" xfId="0" applyFont="1" applyFill="1"/>
    <xf numFmtId="9" fontId="5" fillId="3" borderId="0" xfId="1" applyFont="1" applyFill="1"/>
    <xf numFmtId="0" fontId="5" fillId="3" borderId="0" xfId="0" applyFont="1" applyFill="1" applyAlignment="1">
      <alignment wrapText="1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9" fontId="5" fillId="0" borderId="0" xfId="1" applyFont="1"/>
    <xf numFmtId="0" fontId="5" fillId="0" borderId="0" xfId="0" applyFont="1" applyAlignment="1">
      <alignment wrapText="1"/>
    </xf>
    <xf numFmtId="0" fontId="5" fillId="2" borderId="0" xfId="0" applyFont="1" applyFill="1"/>
    <xf numFmtId="0" fontId="4" fillId="4" borderId="0" xfId="0" applyFont="1" applyFill="1" applyAlignment="1">
      <alignment wrapText="1"/>
    </xf>
    <xf numFmtId="0" fontId="8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left"/>
    </xf>
    <xf numFmtId="0" fontId="8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0" fillId="0" borderId="0" xfId="0" applyNumberFormat="1" applyAlignment="1">
      <alignment horizontal="left"/>
    </xf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2" fontId="8" fillId="0" borderId="0" xfId="0" applyNumberFormat="1" applyFont="1" applyAlignment="1">
      <alignment horizontal="right"/>
    </xf>
    <xf numFmtId="2" fontId="0" fillId="0" borderId="0" xfId="0" applyNumberFormat="1" applyAlignment="1">
      <alignment horizontal="right"/>
    </xf>
    <xf numFmtId="164" fontId="8" fillId="0" borderId="0" xfId="0" applyNumberFormat="1" applyFont="1" applyAlignment="1">
      <alignment horizontal="center"/>
    </xf>
    <xf numFmtId="0" fontId="9" fillId="5" borderId="0" xfId="0" applyFont="1" applyFill="1"/>
    <xf numFmtId="9" fontId="9" fillId="5" borderId="0" xfId="1" applyFont="1" applyFill="1"/>
    <xf numFmtId="0" fontId="9" fillId="5" borderId="0" xfId="0" applyFont="1" applyFill="1" applyAlignment="1">
      <alignment wrapText="1"/>
    </xf>
    <xf numFmtId="0" fontId="5" fillId="7" borderId="0" xfId="0" applyFont="1" applyFill="1"/>
    <xf numFmtId="0" fontId="5" fillId="7" borderId="0" xfId="0" applyFont="1" applyFill="1" applyAlignment="1">
      <alignment wrapText="1"/>
    </xf>
    <xf numFmtId="9" fontId="5" fillId="7" borderId="0" xfId="1" applyFont="1" applyFill="1"/>
    <xf numFmtId="0" fontId="5" fillId="6" borderId="0" xfId="0" applyFont="1" applyFill="1"/>
    <xf numFmtId="9" fontId="5" fillId="6" borderId="0" xfId="1" applyFont="1" applyFill="1"/>
    <xf numFmtId="0" fontId="5" fillId="6" borderId="0" xfId="0" applyFont="1" applyFill="1" applyAlignment="1">
      <alignment wrapText="1"/>
    </xf>
    <xf numFmtId="0" fontId="9" fillId="6" borderId="0" xfId="0" applyFont="1" applyFill="1"/>
    <xf numFmtId="0" fontId="9" fillId="6" borderId="0" xfId="0" applyFont="1" applyFill="1" applyAlignment="1">
      <alignment wrapText="1"/>
    </xf>
    <xf numFmtId="0" fontId="1" fillId="0" borderId="3" xfId="0" applyFont="1" applyBorder="1" applyAlignment="1">
      <alignment horizontal="center" vertical="top"/>
    </xf>
    <xf numFmtId="0" fontId="1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0" fillId="0" borderId="0" xfId="0" applyFont="1"/>
    <xf numFmtId="0" fontId="0" fillId="0" borderId="0" xfId="0" applyFont="1" applyAlignment="1">
      <alignment wrapText="1"/>
    </xf>
    <xf numFmtId="0" fontId="0" fillId="0" borderId="2" xfId="0" applyFont="1" applyFill="1" applyBorder="1" applyAlignment="1">
      <alignment horizontal="center"/>
    </xf>
    <xf numFmtId="0" fontId="0" fillId="0" borderId="0" xfId="0" applyFont="1" applyFill="1"/>
    <xf numFmtId="0" fontId="0" fillId="0" borderId="0" xfId="0" applyFont="1" applyFill="1" applyAlignment="1">
      <alignment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CCS</a:t>
            </a:r>
            <a:r>
              <a:rPr lang="en-US" baseline="0"/>
              <a:t> vs m/z trendlines for PFAESA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6B08E3FB-A7EE-4F86-84B0-D05B0BAD194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D6B7-45E3-87FC-817DDEE14AB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4DFC40B-05B0-481E-8704-FF79A334C75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D6B7-45E3-87FC-817DDEE14AB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830AD52-F460-4B7D-B393-381D4468499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D6B7-45E3-87FC-817DDEE14AB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FB30541-C23B-4911-9773-DEB39509277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D6B7-45E3-87FC-817DDEE14ABE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8F281ED3-3FAE-49C8-A47C-17CC5A868E4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D6B7-45E3-87FC-817DDEE14ABE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24EF1339-E990-4C4C-B427-74174D840ED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D6B7-45E3-87FC-817DDEE14ABE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E3AA2561-520C-49C0-8306-5D1742804AD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D6B7-45E3-87FC-817DDEE14AB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SPATTS!$B$2:$B$8</c:f>
              <c:numCache>
                <c:formatCode>General</c:formatCode>
                <c:ptCount val="7"/>
                <c:pt idx="0">
                  <c:v>314.93889999999999</c:v>
                </c:pt>
                <c:pt idx="1">
                  <c:v>514.92240000000004</c:v>
                </c:pt>
                <c:pt idx="2">
                  <c:v>564.91869999999994</c:v>
                </c:pt>
                <c:pt idx="3">
                  <c:v>314.93790000000001</c:v>
                </c:pt>
                <c:pt idx="4">
                  <c:v>364.93470000000002</c:v>
                </c:pt>
                <c:pt idx="5">
                  <c:v>414.93150000000003</c:v>
                </c:pt>
                <c:pt idx="6">
                  <c:v>464.92829999999998</c:v>
                </c:pt>
              </c:numCache>
            </c:numRef>
          </c:xVal>
          <c:yVal>
            <c:numRef>
              <c:f>SPATTS!$C$2:$C$8</c:f>
              <c:numCache>
                <c:formatCode>General</c:formatCode>
                <c:ptCount val="7"/>
                <c:pt idx="0">
                  <c:v>166.76</c:v>
                </c:pt>
                <c:pt idx="1">
                  <c:v>172</c:v>
                </c:pt>
                <c:pt idx="2">
                  <c:v>181.89</c:v>
                </c:pt>
                <c:pt idx="3">
                  <c:v>138</c:v>
                </c:pt>
                <c:pt idx="4">
                  <c:v>144.36000000000001</c:v>
                </c:pt>
                <c:pt idx="5">
                  <c:v>150.85</c:v>
                </c:pt>
                <c:pt idx="6">
                  <c:v>158.32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SPATTS!$A$2:$A$8</c15:f>
                <c15:dlblRangeCache>
                  <c:ptCount val="7"/>
                  <c:pt idx="0">
                    <c:v>1692</c:v>
                  </c:pt>
                  <c:pt idx="1">
                    <c:v>2318</c:v>
                  </c:pt>
                  <c:pt idx="2">
                    <c:v>2857</c:v>
                  </c:pt>
                  <c:pt idx="3">
                    <c:v>PFEESA</c:v>
                  </c:pt>
                  <c:pt idx="4">
                    <c:v>PFPrESA</c:v>
                  </c:pt>
                  <c:pt idx="5">
                    <c:v>PFBESA</c:v>
                  </c:pt>
                  <c:pt idx="6">
                    <c:v>PFPeESA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D6B7-45E3-87FC-817DDEE14AB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690699407"/>
        <c:axId val="1690697967"/>
      </c:scatterChart>
      <c:valAx>
        <c:axId val="1690699407"/>
        <c:scaling>
          <c:orientation val="minMax"/>
          <c:min val="3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m/z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0697967"/>
        <c:crosses val="autoZero"/>
        <c:crossBetween val="midCat"/>
      </c:valAx>
      <c:valAx>
        <c:axId val="1690697967"/>
        <c:scaling>
          <c:orientation val="minMax"/>
          <c:min val="1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CCS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06994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RT</a:t>
            </a:r>
            <a:r>
              <a:rPr lang="en-US" baseline="0"/>
              <a:t> vs m/z trendlines for PFAESA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8F91254E-7513-40C9-AC9F-4D702E79A81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AA6E-4ED4-B4AD-BDAB4B1CB5F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9F6773B-21CD-4B57-8BA5-B372D1020A8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AA6E-4ED4-B4AD-BDAB4B1CB5F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B08F688-79C5-4C90-97BF-41F76066FC1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AA6E-4ED4-B4AD-BDAB4B1CB5F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9C003E8F-24EC-44B1-B562-59123722443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AA6E-4ED4-B4AD-BDAB4B1CB5F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6B8579DD-408E-47A0-82F0-BA17BE58E72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AA6E-4ED4-B4AD-BDAB4B1CB5F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BD33E09B-39E6-4C33-B49F-80DBC09C6E7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AA6E-4ED4-B4AD-BDAB4B1CB5F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C68267CD-18AF-48C3-B75C-F13425DCDAF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AA6E-4ED4-B4AD-BDAB4B1CB5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SPATTS!$B$2:$B$8</c:f>
              <c:numCache>
                <c:formatCode>General</c:formatCode>
                <c:ptCount val="7"/>
                <c:pt idx="0">
                  <c:v>314.93889999999999</c:v>
                </c:pt>
                <c:pt idx="1">
                  <c:v>514.92240000000004</c:v>
                </c:pt>
                <c:pt idx="2">
                  <c:v>564.91869999999994</c:v>
                </c:pt>
                <c:pt idx="3">
                  <c:v>314.93790000000001</c:v>
                </c:pt>
                <c:pt idx="4">
                  <c:v>364.93470000000002</c:v>
                </c:pt>
                <c:pt idx="5">
                  <c:v>414.93150000000003</c:v>
                </c:pt>
                <c:pt idx="6">
                  <c:v>464.92829999999998</c:v>
                </c:pt>
              </c:numCache>
            </c:numRef>
          </c:xVal>
          <c:yVal>
            <c:numRef>
              <c:f>SPATTS!$D$2:$D$8</c:f>
              <c:numCache>
                <c:formatCode>General</c:formatCode>
                <c:ptCount val="7"/>
                <c:pt idx="0">
                  <c:v>11.195</c:v>
                </c:pt>
                <c:pt idx="1">
                  <c:v>10.638</c:v>
                </c:pt>
                <c:pt idx="2">
                  <c:v>11.356</c:v>
                </c:pt>
                <c:pt idx="3">
                  <c:v>6.31</c:v>
                </c:pt>
                <c:pt idx="4">
                  <c:v>7.1</c:v>
                </c:pt>
                <c:pt idx="5">
                  <c:v>8.4</c:v>
                </c:pt>
                <c:pt idx="6">
                  <c:v>9.5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SPATTS!$A$2:$A$8</c15:f>
                <c15:dlblRangeCache>
                  <c:ptCount val="7"/>
                  <c:pt idx="0">
                    <c:v>1692</c:v>
                  </c:pt>
                  <c:pt idx="1">
                    <c:v>2318</c:v>
                  </c:pt>
                  <c:pt idx="2">
                    <c:v>2857</c:v>
                  </c:pt>
                  <c:pt idx="3">
                    <c:v>PFEESA</c:v>
                  </c:pt>
                  <c:pt idx="4">
                    <c:v>PFPrESA</c:v>
                  </c:pt>
                  <c:pt idx="5">
                    <c:v>PFBESA</c:v>
                  </c:pt>
                  <c:pt idx="6">
                    <c:v>PFPeESA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6-AA6E-4ED4-B4AD-BDAB4B1CB5F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690699407"/>
        <c:axId val="1690697967"/>
      </c:scatterChart>
      <c:valAx>
        <c:axId val="1690699407"/>
        <c:scaling>
          <c:orientation val="minMax"/>
          <c:min val="3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m/z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0697967"/>
        <c:crosses val="autoZero"/>
        <c:crossBetween val="midCat"/>
      </c:valAx>
      <c:valAx>
        <c:axId val="1690697967"/>
        <c:scaling>
          <c:orientation val="minMax"/>
          <c:min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06994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'PFAESA series'!$C$4:$C$13</c:f>
              <c:numCache>
                <c:formatCode>General</c:formatCode>
                <c:ptCount val="10"/>
                <c:pt idx="0">
                  <c:v>364.93470000000002</c:v>
                </c:pt>
                <c:pt idx="1">
                  <c:v>364.93470000000002</c:v>
                </c:pt>
                <c:pt idx="2">
                  <c:v>414.93150000000003</c:v>
                </c:pt>
                <c:pt idx="3">
                  <c:v>414.93150000000003</c:v>
                </c:pt>
                <c:pt idx="4">
                  <c:v>464.92829999999998</c:v>
                </c:pt>
                <c:pt idx="5">
                  <c:v>464.92829999999998</c:v>
                </c:pt>
                <c:pt idx="6">
                  <c:v>514.92240000000004</c:v>
                </c:pt>
                <c:pt idx="7">
                  <c:v>514.92240000000004</c:v>
                </c:pt>
                <c:pt idx="8">
                  <c:v>564.91869999999994</c:v>
                </c:pt>
                <c:pt idx="9">
                  <c:v>564.91869999999994</c:v>
                </c:pt>
              </c:numCache>
            </c:numRef>
          </c:xVal>
          <c:yVal>
            <c:numRef>
              <c:f>'PFAESA series'!$D$4:$D$13</c:f>
              <c:numCache>
                <c:formatCode>General</c:formatCode>
                <c:ptCount val="10"/>
                <c:pt idx="0">
                  <c:v>144.36000000000001</c:v>
                </c:pt>
                <c:pt idx="1">
                  <c:v>144.36000000000001</c:v>
                </c:pt>
                <c:pt idx="2">
                  <c:v>150.85</c:v>
                </c:pt>
                <c:pt idx="3">
                  <c:v>150.85</c:v>
                </c:pt>
                <c:pt idx="4">
                  <c:v>158.32</c:v>
                </c:pt>
                <c:pt idx="5">
                  <c:v>158.32</c:v>
                </c:pt>
                <c:pt idx="6">
                  <c:v>172</c:v>
                </c:pt>
                <c:pt idx="7">
                  <c:v>172</c:v>
                </c:pt>
                <c:pt idx="8">
                  <c:v>181.89</c:v>
                </c:pt>
                <c:pt idx="9">
                  <c:v>181.89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29-4179-803C-E752716248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2235407"/>
        <c:axId val="582235887"/>
      </c:scatterChart>
      <c:valAx>
        <c:axId val="582235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235887"/>
        <c:crosses val="autoZero"/>
        <c:crossBetween val="midCat"/>
      </c:valAx>
      <c:valAx>
        <c:axId val="582235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2354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  <cx:data id="1">
      <cx:numDim type="val">
        <cx:f>_xlchart.v1.1</cx:f>
      </cx:numDim>
    </cx:data>
    <cx:data id="2">
      <cx:numDim type="val">
        <cx:f>_xlchart.v1.2</cx:f>
      </cx:numDim>
    </cx:data>
  </cx:chartData>
  <cx:chart>
    <cx:title pos="t" align="ctr" overlay="0">
      <cx:tx>
        <cx:txData>
          <cx:v>Detection frequencies of each feature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Detection frequencies of each feature</a:t>
          </a:r>
        </a:p>
      </cx:txPr>
    </cx:title>
    <cx:plotArea>
      <cx:plotAreaRegion>
        <cx:series layoutId="boxWhisker" uniqueId="{00000001-D9FC-4F71-889E-1914DA126343}" formatIdx="1">
          <cx:tx>
            <cx:txData>
              <cx:f/>
              <cx:v>Likely</cx:v>
            </cx:txData>
          </cx:tx>
          <cx:dataId val="0"/>
          <cx:layoutPr>
            <cx:statistics quartileMethod="exclusive"/>
          </cx:layoutPr>
        </cx:series>
        <cx:series layoutId="boxWhisker" uniqueId="{00000002-D9FC-4F71-889E-1914DA126343}">
          <cx:tx>
            <cx:txData>
              <cx:f/>
              <cx:v>EPA match</cx:v>
            </cx:txData>
          </cx:tx>
          <cx:dataId val="1"/>
          <cx:layoutPr>
            <cx:statistics quartileMethod="exclusive"/>
          </cx:layoutPr>
        </cx:series>
        <cx:series layoutId="boxWhisker" uniqueId="{00000003-D9FC-4F71-889E-1914DA126343}">
          <cx:tx>
            <cx:txData>
              <cx:f/>
              <cx:v>No match</cx:v>
            </cx:txData>
          </cx:tx>
          <cx:dataId val="2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title>
          <cx:tx>
            <cx:txData>
              <cx:v>Detection frequency by feature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Detection frequency by feature</a:t>
              </a:r>
            </a:p>
          </cx:txPr>
        </cx:title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11</xdr:row>
      <xdr:rowOff>85725</xdr:rowOff>
    </xdr:from>
    <xdr:to>
      <xdr:col>18</xdr:col>
      <xdr:colOff>228600</xdr:colOff>
      <xdr:row>25</xdr:row>
      <xdr:rowOff>161925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56140B65-73A9-6B28-7A20-30BD4279C38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29400" y="218122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351234</xdr:colOff>
      <xdr:row>10</xdr:row>
      <xdr:rowOff>57150</xdr:rowOff>
    </xdr:from>
    <xdr:to>
      <xdr:col>5</xdr:col>
      <xdr:colOff>1577577</xdr:colOff>
      <xdr:row>24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1635C4-70FA-AA86-3EAE-924760C60B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1583531</xdr:colOff>
      <xdr:row>10</xdr:row>
      <xdr:rowOff>59532</xdr:rowOff>
    </xdr:from>
    <xdr:to>
      <xdr:col>6</xdr:col>
      <xdr:colOff>547688</xdr:colOff>
      <xdr:row>24</xdr:row>
      <xdr:rowOff>135732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BDF3380-4CE3-41B6-9A62-3F9D84A4FB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756046</xdr:colOff>
      <xdr:row>18</xdr:row>
      <xdr:rowOff>164306</xdr:rowOff>
    </xdr:from>
    <xdr:to>
      <xdr:col>9</xdr:col>
      <xdr:colOff>315515</xdr:colOff>
      <xdr:row>33</xdr:row>
      <xdr:rowOff>50006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3984FA-0C73-FB1C-FBBA-5ED28C12BB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G41"/>
  <sheetViews>
    <sheetView zoomScale="80" zoomScaleNormal="80" workbookViewId="0">
      <selection activeCell="E39" sqref="E39"/>
    </sheetView>
  </sheetViews>
  <sheetFormatPr defaultRowHeight="15" x14ac:dyDescent="0.25"/>
  <cols>
    <col min="2" max="2" width="17.85546875" customWidth="1"/>
    <col min="3" max="3" width="16.140625" customWidth="1"/>
    <col min="4" max="4" width="9.5703125" customWidth="1"/>
    <col min="5" max="5" width="74.85546875" bestFit="1" customWidth="1"/>
    <col min="6" max="6" width="10.5703125" customWidth="1"/>
  </cols>
  <sheetData>
    <row r="1" spans="1:137" x14ac:dyDescent="0.25">
      <c r="A1" s="1" t="s">
        <v>0</v>
      </c>
      <c r="B1" s="1" t="s">
        <v>6</v>
      </c>
      <c r="C1" s="1" t="s">
        <v>7</v>
      </c>
      <c r="D1" s="1" t="s">
        <v>12</v>
      </c>
      <c r="E1" s="7" t="s">
        <v>340</v>
      </c>
      <c r="F1" s="8" t="s">
        <v>336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0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  <c r="DD1" s="1" t="s">
        <v>104</v>
      </c>
      <c r="DE1" s="1" t="s">
        <v>105</v>
      </c>
      <c r="DF1" s="1" t="s">
        <v>106</v>
      </c>
      <c r="DG1" s="1" t="s">
        <v>107</v>
      </c>
      <c r="DH1" s="1" t="s">
        <v>108</v>
      </c>
      <c r="DI1" s="1" t="s">
        <v>109</v>
      </c>
      <c r="DJ1" s="1" t="s">
        <v>110</v>
      </c>
      <c r="DK1" s="1" t="s">
        <v>111</v>
      </c>
      <c r="DL1" s="1" t="s">
        <v>112</v>
      </c>
      <c r="DM1" s="1" t="s">
        <v>113</v>
      </c>
      <c r="DN1" s="1" t="s">
        <v>114</v>
      </c>
      <c r="DO1" s="1" t="s">
        <v>115</v>
      </c>
      <c r="DP1" s="1" t="s">
        <v>116</v>
      </c>
      <c r="DQ1" s="1" t="s">
        <v>117</v>
      </c>
      <c r="DR1" s="1" t="s">
        <v>118</v>
      </c>
      <c r="DS1" s="1" t="s">
        <v>119</v>
      </c>
      <c r="DT1" s="1" t="s">
        <v>120</v>
      </c>
      <c r="DU1" s="1" t="s">
        <v>121</v>
      </c>
      <c r="DV1" s="1" t="s">
        <v>122</v>
      </c>
      <c r="DW1" s="1" t="s">
        <v>123</v>
      </c>
      <c r="DX1" s="1" t="s">
        <v>124</v>
      </c>
      <c r="DY1" s="1" t="s">
        <v>125</v>
      </c>
      <c r="DZ1" s="1" t="s">
        <v>126</v>
      </c>
      <c r="EA1" s="1" t="s">
        <v>127</v>
      </c>
      <c r="EB1" s="1" t="s">
        <v>128</v>
      </c>
      <c r="EC1" s="1" t="s">
        <v>129</v>
      </c>
      <c r="ED1" s="1" t="s">
        <v>130</v>
      </c>
      <c r="EE1" s="1" t="s">
        <v>131</v>
      </c>
      <c r="EF1" s="1" t="s">
        <v>132</v>
      </c>
      <c r="EG1" s="2" t="s">
        <v>336</v>
      </c>
    </row>
    <row r="2" spans="1:137" x14ac:dyDescent="0.25">
      <c r="A2" s="1">
        <v>6154</v>
      </c>
      <c r="B2">
        <v>526.96019999999999</v>
      </c>
      <c r="C2">
        <v>11.198</v>
      </c>
      <c r="D2">
        <v>186.47</v>
      </c>
      <c r="E2" s="9" t="s">
        <v>430</v>
      </c>
      <c r="F2" s="10">
        <v>0.11458333333333333</v>
      </c>
      <c r="G2" t="s">
        <v>137</v>
      </c>
      <c r="H2" t="s">
        <v>185</v>
      </c>
      <c r="I2" t="s">
        <v>139</v>
      </c>
      <c r="J2">
        <v>25.178000000000001</v>
      </c>
      <c r="K2" t="s">
        <v>180</v>
      </c>
      <c r="L2" t="s">
        <v>181</v>
      </c>
      <c r="M2" t="s">
        <v>213</v>
      </c>
      <c r="N2" t="s">
        <v>214</v>
      </c>
      <c r="O2" t="s">
        <v>215</v>
      </c>
      <c r="P2">
        <v>-1</v>
      </c>
      <c r="Q2">
        <v>2</v>
      </c>
      <c r="R2">
        <v>16</v>
      </c>
      <c r="S2">
        <v>98</v>
      </c>
      <c r="U2" t="b">
        <v>0</v>
      </c>
      <c r="V2" t="s">
        <v>216</v>
      </c>
      <c r="W2">
        <v>527</v>
      </c>
      <c r="X2">
        <v>-3.9800000000013797E-2</v>
      </c>
      <c r="Y2">
        <v>526.99385973021401</v>
      </c>
      <c r="Z2">
        <v>527</v>
      </c>
      <c r="AA2">
        <v>-6.1402697864422996E-3</v>
      </c>
      <c r="AB2">
        <v>35</v>
      </c>
      <c r="AC2">
        <v>0</v>
      </c>
      <c r="AD2">
        <v>0</v>
      </c>
      <c r="AE2" t="b">
        <v>1</v>
      </c>
      <c r="AH2" t="b">
        <v>1</v>
      </c>
      <c r="AI2" t="b">
        <v>0</v>
      </c>
      <c r="AJ2" t="b">
        <v>0</v>
      </c>
      <c r="AK2" t="b">
        <v>0</v>
      </c>
      <c r="AL2" t="s">
        <v>180</v>
      </c>
      <c r="AM2" t="s">
        <v>185</v>
      </c>
      <c r="AS2" t="s">
        <v>144</v>
      </c>
      <c r="AT2">
        <v>6154</v>
      </c>
      <c r="BB2">
        <v>152.7346</v>
      </c>
      <c r="BD2">
        <v>163.7346</v>
      </c>
      <c r="BK2">
        <v>89.734579999999994</v>
      </c>
      <c r="BP2">
        <v>35.734580000000001</v>
      </c>
      <c r="BS2">
        <v>78.734579999999994</v>
      </c>
      <c r="BV2">
        <v>60.734580000000001</v>
      </c>
      <c r="CD2">
        <v>81.734579999999994</v>
      </c>
      <c r="CR2">
        <v>142.7346</v>
      </c>
      <c r="CT2">
        <v>66.734579999999994</v>
      </c>
      <c r="DB2">
        <v>180.7346</v>
      </c>
      <c r="DD2">
        <v>28.734580000000001</v>
      </c>
      <c r="EG2" s="3">
        <f t="shared" ref="EG2:EG32" si="0">COUNT(AU2:EF2)/96</f>
        <v>0.11458333333333333</v>
      </c>
    </row>
    <row r="3" spans="1:137" s="11" customFormat="1" x14ac:dyDescent="0.25">
      <c r="A3" s="13">
        <v>504</v>
      </c>
      <c r="B3" s="11">
        <v>462.92939999999999</v>
      </c>
      <c r="C3" s="11">
        <v>8.7780000000000005</v>
      </c>
      <c r="D3" s="11">
        <v>155.11000000000001</v>
      </c>
      <c r="E3" s="11" t="s">
        <v>429</v>
      </c>
      <c r="F3" s="12">
        <v>0.36458333333333331</v>
      </c>
      <c r="G3" s="11" t="s">
        <v>137</v>
      </c>
      <c r="H3" s="11" t="s">
        <v>185</v>
      </c>
      <c r="I3" s="11" t="s">
        <v>139</v>
      </c>
      <c r="J3" s="11">
        <v>20.872</v>
      </c>
      <c r="K3" s="11" t="s">
        <v>180</v>
      </c>
      <c r="L3" s="11" t="s">
        <v>181</v>
      </c>
      <c r="M3" s="11" t="s">
        <v>182</v>
      </c>
      <c r="N3" s="11" t="s">
        <v>183</v>
      </c>
      <c r="O3" s="11" t="s">
        <v>184</v>
      </c>
      <c r="P3" s="11">
        <v>-1</v>
      </c>
      <c r="Q3" s="11">
        <v>3</v>
      </c>
      <c r="R3" s="11">
        <v>64</v>
      </c>
      <c r="S3" s="11">
        <v>100</v>
      </c>
      <c r="U3" s="11" t="b">
        <v>0</v>
      </c>
      <c r="V3" s="11" t="s">
        <v>186</v>
      </c>
      <c r="W3" s="11">
        <v>463</v>
      </c>
      <c r="X3" s="11">
        <v>-7.0600000000013097E-2</v>
      </c>
      <c r="Y3" s="11">
        <v>462.95896974494798</v>
      </c>
      <c r="Z3" s="11">
        <v>463</v>
      </c>
      <c r="AA3" s="11">
        <v>-4.1030255051623499E-2</v>
      </c>
      <c r="AB3" s="11">
        <v>32</v>
      </c>
      <c r="AC3" s="11">
        <v>0</v>
      </c>
      <c r="AD3" s="11">
        <v>0</v>
      </c>
      <c r="AE3" s="11" t="b">
        <v>1</v>
      </c>
      <c r="AH3" s="11" t="b">
        <v>1</v>
      </c>
      <c r="AI3" s="11" t="b">
        <v>0</v>
      </c>
      <c r="AJ3" s="11" t="b">
        <v>0</v>
      </c>
      <c r="AK3" s="11" t="b">
        <v>0</v>
      </c>
      <c r="AL3" s="11" t="s">
        <v>180</v>
      </c>
      <c r="AM3" s="11" t="s">
        <v>185</v>
      </c>
      <c r="AS3" s="11" t="s">
        <v>144</v>
      </c>
      <c r="AT3" s="11">
        <v>504</v>
      </c>
      <c r="AU3" s="11">
        <v>1443.7</v>
      </c>
      <c r="AV3" s="11">
        <v>1370.7</v>
      </c>
      <c r="AW3" s="11">
        <v>411.70010000000002</v>
      </c>
      <c r="AZ3" s="11">
        <v>191.70009999999999</v>
      </c>
      <c r="BA3" s="11">
        <v>259.70010000000002</v>
      </c>
      <c r="BH3" s="11">
        <v>44.700060000000001</v>
      </c>
      <c r="BI3" s="11">
        <v>960.70010000000002</v>
      </c>
      <c r="BM3" s="11">
        <v>357.70010000000002</v>
      </c>
      <c r="BQ3" s="11">
        <v>1324.7</v>
      </c>
      <c r="BT3" s="11">
        <v>186.70009999999999</v>
      </c>
      <c r="BW3" s="11">
        <v>72.700059999999993</v>
      </c>
      <c r="BY3" s="11">
        <v>2.7000600000000001</v>
      </c>
      <c r="CB3" s="11">
        <v>30.700060000000001</v>
      </c>
      <c r="CC3" s="11">
        <v>38.700060000000001</v>
      </c>
      <c r="CD3" s="11">
        <v>162.70009999999999</v>
      </c>
      <c r="CE3" s="11">
        <v>178.70009999999999</v>
      </c>
      <c r="CF3" s="11">
        <v>1237.7</v>
      </c>
      <c r="CK3" s="11">
        <v>863.70010000000002</v>
      </c>
      <c r="CN3" s="11">
        <v>165.70009999999999</v>
      </c>
      <c r="CO3" s="11">
        <v>91.700059999999993</v>
      </c>
      <c r="CR3" s="11">
        <v>525.70010000000002</v>
      </c>
      <c r="CW3" s="11">
        <v>62.700060000000001</v>
      </c>
      <c r="DB3" s="11">
        <v>86.700059999999993</v>
      </c>
      <c r="DD3" s="11">
        <v>51.700060000000001</v>
      </c>
      <c r="DG3" s="11">
        <v>411.70010000000002</v>
      </c>
      <c r="DO3" s="11">
        <v>1040.7</v>
      </c>
      <c r="DP3" s="11">
        <v>369.70010000000002</v>
      </c>
      <c r="DQ3" s="11">
        <v>1194.7</v>
      </c>
      <c r="DT3" s="11">
        <v>520.70010000000002</v>
      </c>
      <c r="DX3" s="11">
        <v>908.70010000000002</v>
      </c>
      <c r="DZ3" s="11">
        <v>1241.7</v>
      </c>
      <c r="EA3" s="11">
        <v>203.70009999999999</v>
      </c>
      <c r="EB3" s="11">
        <v>327.70010000000002</v>
      </c>
      <c r="ED3" s="11">
        <v>175.70006040000001</v>
      </c>
      <c r="EE3" s="11">
        <v>1532.7</v>
      </c>
      <c r="EG3" s="12">
        <f t="shared" si="0"/>
        <v>0.36458333333333331</v>
      </c>
    </row>
    <row r="4" spans="1:137" s="11" customFormat="1" x14ac:dyDescent="0.25">
      <c r="A4" s="13">
        <v>1086</v>
      </c>
      <c r="B4" s="11">
        <v>462.93029999999999</v>
      </c>
      <c r="C4" s="11">
        <v>8.7059999999999995</v>
      </c>
      <c r="D4" s="11">
        <v>155.03</v>
      </c>
      <c r="E4" s="11" t="s">
        <v>429</v>
      </c>
      <c r="F4" s="12">
        <v>0.21875</v>
      </c>
      <c r="G4" s="11" t="s">
        <v>137</v>
      </c>
      <c r="H4" s="11" t="s">
        <v>185</v>
      </c>
      <c r="I4" s="11" t="s">
        <v>139</v>
      </c>
      <c r="J4" s="11">
        <v>20.863</v>
      </c>
      <c r="K4" s="11" t="s">
        <v>180</v>
      </c>
      <c r="L4" s="11" t="s">
        <v>181</v>
      </c>
      <c r="M4" s="11" t="s">
        <v>182</v>
      </c>
      <c r="N4" s="11" t="s">
        <v>183</v>
      </c>
      <c r="O4" s="11" t="s">
        <v>184</v>
      </c>
      <c r="P4" s="11">
        <v>-1</v>
      </c>
      <c r="Q4" s="11">
        <v>3</v>
      </c>
      <c r="R4" s="11">
        <v>34</v>
      </c>
      <c r="S4" s="11">
        <v>100</v>
      </c>
      <c r="U4" s="11" t="b">
        <v>0</v>
      </c>
      <c r="V4" s="11" t="s">
        <v>186</v>
      </c>
      <c r="W4" s="11">
        <v>463</v>
      </c>
      <c r="X4" s="11">
        <v>-6.97000000000116E-2</v>
      </c>
      <c r="Y4" s="11">
        <v>462.959869802436</v>
      </c>
      <c r="Z4" s="11">
        <v>463</v>
      </c>
      <c r="AA4" s="11">
        <v>-4.0130197563883002E-2</v>
      </c>
      <c r="AB4" s="11">
        <v>35</v>
      </c>
      <c r="AC4" s="11">
        <v>0</v>
      </c>
      <c r="AD4" s="11">
        <v>0</v>
      </c>
      <c r="AE4" s="11" t="b">
        <v>1</v>
      </c>
      <c r="AH4" s="11" t="b">
        <v>1</v>
      </c>
      <c r="AI4" s="11" t="b">
        <v>0</v>
      </c>
      <c r="AJ4" s="11" t="b">
        <v>0</v>
      </c>
      <c r="AK4" s="11" t="b">
        <v>0</v>
      </c>
      <c r="AL4" s="11" t="s">
        <v>180</v>
      </c>
      <c r="AM4" s="11" t="s">
        <v>185</v>
      </c>
      <c r="AS4" s="11" t="s">
        <v>144</v>
      </c>
      <c r="AT4" s="11">
        <v>1086</v>
      </c>
      <c r="AX4" s="11">
        <v>738.99900000000002</v>
      </c>
      <c r="AY4" s="11">
        <v>704.99900000000002</v>
      </c>
      <c r="BB4" s="11">
        <v>665.99900000000002</v>
      </c>
      <c r="BD4" s="11">
        <v>689.99900000000002</v>
      </c>
      <c r="BE4" s="11">
        <v>384.99900000000002</v>
      </c>
      <c r="BU4" s="11">
        <v>674.99900000000002</v>
      </c>
      <c r="BX4" s="11">
        <v>695.99900000000002</v>
      </c>
      <c r="CG4" s="11">
        <v>314.99900000000002</v>
      </c>
      <c r="CH4" s="11">
        <v>308.99900000000002</v>
      </c>
      <c r="CJ4" s="11">
        <v>550.99900000000002</v>
      </c>
      <c r="CM4" s="11">
        <v>327.99900000000002</v>
      </c>
      <c r="CU4" s="11">
        <v>491.99900000000002</v>
      </c>
      <c r="CV4" s="11">
        <v>406.99900000000002</v>
      </c>
      <c r="DC4" s="11">
        <v>318.99900000000002</v>
      </c>
      <c r="DE4" s="11">
        <v>364.99900000000002</v>
      </c>
      <c r="DH4" s="11">
        <v>553.99900000000002</v>
      </c>
      <c r="DI4" s="11">
        <v>360.99900000000002</v>
      </c>
      <c r="DN4" s="11">
        <v>451.99900000000002</v>
      </c>
      <c r="DV4" s="11">
        <v>312.99900000000002</v>
      </c>
      <c r="DY4" s="11">
        <v>715.99900000000002</v>
      </c>
      <c r="EC4" s="11">
        <v>4807.9989999999998</v>
      </c>
      <c r="EG4" s="12">
        <f t="shared" si="0"/>
        <v>0.21875</v>
      </c>
    </row>
    <row r="5" spans="1:137" s="11" customFormat="1" x14ac:dyDescent="0.25">
      <c r="A5" s="13">
        <v>2376</v>
      </c>
      <c r="B5" s="11">
        <v>462.92779999999999</v>
      </c>
      <c r="C5" s="11">
        <v>8.7080000000000002</v>
      </c>
      <c r="D5" s="11">
        <v>155.33000000000001</v>
      </c>
      <c r="E5" s="11" t="s">
        <v>429</v>
      </c>
      <c r="F5" s="12">
        <v>5.2083333333333336E-2</v>
      </c>
      <c r="G5" s="11" t="s">
        <v>137</v>
      </c>
      <c r="H5" s="11" t="s">
        <v>185</v>
      </c>
      <c r="I5" s="11" t="s">
        <v>139</v>
      </c>
      <c r="J5" s="11">
        <v>20.901</v>
      </c>
      <c r="K5" s="11" t="s">
        <v>180</v>
      </c>
      <c r="L5" s="11" t="s">
        <v>181</v>
      </c>
      <c r="M5" s="11" t="s">
        <v>182</v>
      </c>
      <c r="N5" s="11" t="s">
        <v>183</v>
      </c>
      <c r="O5" s="11" t="s">
        <v>184</v>
      </c>
      <c r="P5" s="11">
        <v>-1</v>
      </c>
      <c r="Q5" s="11">
        <v>1</v>
      </c>
      <c r="R5" s="11">
        <v>36</v>
      </c>
      <c r="S5" s="11">
        <v>99.3</v>
      </c>
      <c r="U5" s="11" t="b">
        <v>0</v>
      </c>
      <c r="V5" s="11" t="s">
        <v>186</v>
      </c>
      <c r="W5" s="11">
        <v>463</v>
      </c>
      <c r="X5" s="11">
        <v>-7.2200000000009396E-2</v>
      </c>
      <c r="Y5" s="11">
        <v>462.95736964274801</v>
      </c>
      <c r="Z5" s="11">
        <v>463</v>
      </c>
      <c r="AA5" s="11">
        <v>-4.2630357252050999E-2</v>
      </c>
      <c r="AB5" s="11">
        <v>33</v>
      </c>
      <c r="AC5" s="11">
        <v>0</v>
      </c>
      <c r="AD5" s="11">
        <v>0</v>
      </c>
      <c r="AE5" s="11" t="b">
        <v>1</v>
      </c>
      <c r="AH5" s="11" t="b">
        <v>1</v>
      </c>
      <c r="AI5" s="11" t="b">
        <v>0</v>
      </c>
      <c r="AJ5" s="11" t="b">
        <v>0</v>
      </c>
      <c r="AK5" s="11" t="b">
        <v>0</v>
      </c>
      <c r="AL5" s="11" t="s">
        <v>180</v>
      </c>
      <c r="AM5" s="11" t="s">
        <v>185</v>
      </c>
      <c r="AS5" s="11" t="s">
        <v>144</v>
      </c>
      <c r="AT5" s="11">
        <v>2376</v>
      </c>
      <c r="BO5" s="11">
        <v>3.1538520000000001</v>
      </c>
      <c r="BS5" s="11">
        <v>419.15390000000002</v>
      </c>
      <c r="CL5" s="11">
        <v>31.153849999999998</v>
      </c>
      <c r="CS5" s="11">
        <v>78.153850000000006</v>
      </c>
      <c r="DJ5" s="11">
        <v>44.153849999999998</v>
      </c>
      <c r="EG5" s="12">
        <f t="shared" si="0"/>
        <v>5.2083333333333336E-2</v>
      </c>
    </row>
    <row r="6" spans="1:137" s="11" customFormat="1" x14ac:dyDescent="0.25">
      <c r="A6" s="13">
        <v>3273</v>
      </c>
      <c r="B6" s="11">
        <v>462.93060000000003</v>
      </c>
      <c r="C6" s="11">
        <v>8.6419999999999995</v>
      </c>
      <c r="D6" s="11">
        <v>155.03</v>
      </c>
      <c r="E6" s="11" t="s">
        <v>429</v>
      </c>
      <c r="F6" s="12">
        <v>0.17708333333333334</v>
      </c>
      <c r="G6" s="11" t="s">
        <v>137</v>
      </c>
      <c r="H6" s="11" t="s">
        <v>185</v>
      </c>
      <c r="I6" s="11" t="s">
        <v>139</v>
      </c>
      <c r="J6" s="11">
        <v>20.87</v>
      </c>
      <c r="K6" s="11" t="s">
        <v>180</v>
      </c>
      <c r="L6" s="11" t="s">
        <v>181</v>
      </c>
      <c r="M6" s="11" t="s">
        <v>182</v>
      </c>
      <c r="N6" s="11" t="s">
        <v>183</v>
      </c>
      <c r="O6" s="11" t="s">
        <v>184</v>
      </c>
      <c r="P6" s="11">
        <v>-1</v>
      </c>
      <c r="Q6" s="11">
        <v>1</v>
      </c>
      <c r="R6" s="11">
        <v>27</v>
      </c>
      <c r="S6" s="11">
        <v>98.6</v>
      </c>
      <c r="U6" s="11" t="b">
        <v>0</v>
      </c>
      <c r="V6" s="11" t="s">
        <v>186</v>
      </c>
      <c r="W6" s="11">
        <v>463</v>
      </c>
      <c r="X6" s="11">
        <v>-6.9399999999973302E-2</v>
      </c>
      <c r="Y6" s="11">
        <v>462.96016982159898</v>
      </c>
      <c r="Z6" s="11">
        <v>463</v>
      </c>
      <c r="AA6" s="11">
        <v>-3.9830178401246003E-2</v>
      </c>
      <c r="AB6" s="11">
        <v>31</v>
      </c>
      <c r="AC6" s="11">
        <v>0</v>
      </c>
      <c r="AD6" s="11">
        <v>0</v>
      </c>
      <c r="AE6" s="11" t="b">
        <v>1</v>
      </c>
      <c r="AH6" s="11" t="b">
        <v>1</v>
      </c>
      <c r="AI6" s="11" t="b">
        <v>0</v>
      </c>
      <c r="AJ6" s="11" t="b">
        <v>0</v>
      </c>
      <c r="AK6" s="11" t="b">
        <v>0</v>
      </c>
      <c r="AL6" s="11" t="s">
        <v>180</v>
      </c>
      <c r="AM6" s="11" t="s">
        <v>185</v>
      </c>
      <c r="AS6" s="11" t="s">
        <v>144</v>
      </c>
      <c r="AT6" s="11">
        <v>3273</v>
      </c>
      <c r="BC6" s="11">
        <v>70.998999999999995</v>
      </c>
      <c r="BF6" s="11">
        <v>144.999</v>
      </c>
      <c r="BG6" s="11">
        <v>129.999</v>
      </c>
      <c r="BJ6" s="11">
        <v>233.999</v>
      </c>
      <c r="BL6" s="11">
        <v>167.999</v>
      </c>
      <c r="BN6" s="11">
        <v>221.999</v>
      </c>
      <c r="BV6" s="11">
        <v>130.999</v>
      </c>
      <c r="CA6" s="11">
        <v>258.99900000000002</v>
      </c>
      <c r="CP6" s="11">
        <v>230.999</v>
      </c>
      <c r="CX6" s="11">
        <v>147.999</v>
      </c>
      <c r="CZ6" s="11">
        <v>182.999</v>
      </c>
      <c r="DA6" s="11">
        <v>273.99900000000002</v>
      </c>
      <c r="DF6" s="11">
        <v>156.999</v>
      </c>
      <c r="DR6" s="11">
        <v>153.999</v>
      </c>
      <c r="DS6" s="11">
        <v>272.99900000000002</v>
      </c>
      <c r="DU6" s="11">
        <v>213.999</v>
      </c>
      <c r="EF6" s="11">
        <v>203.999</v>
      </c>
      <c r="EG6" s="12">
        <f t="shared" si="0"/>
        <v>0.17708333333333334</v>
      </c>
    </row>
    <row r="7" spans="1:137" x14ac:dyDescent="0.25">
      <c r="A7" s="1">
        <v>526</v>
      </c>
      <c r="B7">
        <v>512.95809999999994</v>
      </c>
      <c r="C7">
        <v>11.222</v>
      </c>
      <c r="D7">
        <v>174.34</v>
      </c>
      <c r="E7" s="9" t="s">
        <v>429</v>
      </c>
      <c r="F7" s="10">
        <v>0.39583333333333331</v>
      </c>
      <c r="G7" t="s">
        <v>137</v>
      </c>
      <c r="H7" t="s">
        <v>185</v>
      </c>
      <c r="I7" t="s">
        <v>139</v>
      </c>
      <c r="J7">
        <v>23.529</v>
      </c>
      <c r="K7" t="s">
        <v>180</v>
      </c>
      <c r="L7" t="s">
        <v>181</v>
      </c>
      <c r="M7" t="s">
        <v>187</v>
      </c>
      <c r="N7" t="s">
        <v>154</v>
      </c>
      <c r="O7" t="s">
        <v>155</v>
      </c>
      <c r="P7">
        <v>-1</v>
      </c>
      <c r="Q7">
        <v>2</v>
      </c>
      <c r="R7">
        <v>83</v>
      </c>
      <c r="S7">
        <v>100</v>
      </c>
      <c r="U7" t="b">
        <v>0</v>
      </c>
      <c r="V7" t="s">
        <v>188</v>
      </c>
      <c r="W7">
        <v>513</v>
      </c>
      <c r="X7">
        <v>-4.1900000000055102E-2</v>
      </c>
      <c r="Y7">
        <v>512.99086534215803</v>
      </c>
      <c r="Z7">
        <v>513</v>
      </c>
      <c r="AA7">
        <v>-9.1346578416277996E-3</v>
      </c>
      <c r="AB7">
        <v>35</v>
      </c>
      <c r="AC7">
        <v>0</v>
      </c>
      <c r="AD7">
        <v>0</v>
      </c>
      <c r="AE7" t="b">
        <v>1</v>
      </c>
      <c r="AH7" t="b">
        <v>1</v>
      </c>
      <c r="AI7" t="b">
        <v>0</v>
      </c>
      <c r="AJ7" t="b">
        <v>0</v>
      </c>
      <c r="AK7" t="b">
        <v>0</v>
      </c>
      <c r="AL7" t="s">
        <v>180</v>
      </c>
      <c r="AM7" t="s">
        <v>185</v>
      </c>
      <c r="AS7" t="s">
        <v>144</v>
      </c>
      <c r="AT7">
        <v>526</v>
      </c>
      <c r="AU7">
        <v>70.358519999999999</v>
      </c>
      <c r="AV7">
        <v>1249.3589999999999</v>
      </c>
      <c r="AY7">
        <v>578.35850000000005</v>
      </c>
      <c r="AZ7">
        <v>970.35850000000005</v>
      </c>
      <c r="BA7">
        <v>335.35849999999999</v>
      </c>
      <c r="BD7">
        <v>86.358519999999999</v>
      </c>
      <c r="BI7">
        <v>111.35850000000001</v>
      </c>
      <c r="BJ7">
        <v>662.35850000000005</v>
      </c>
      <c r="BQ7">
        <v>232.35849999999999</v>
      </c>
      <c r="BS7">
        <v>83.358519999999999</v>
      </c>
      <c r="BX7">
        <v>402.35849999999999</v>
      </c>
      <c r="CC7">
        <v>356.35849999999999</v>
      </c>
      <c r="CD7">
        <v>357.35849999999999</v>
      </c>
      <c r="CF7">
        <v>368.35849999999999</v>
      </c>
      <c r="CQ7">
        <v>830.35850000000005</v>
      </c>
      <c r="CR7">
        <v>466.35849999999999</v>
      </c>
      <c r="CS7">
        <v>265.35849999999999</v>
      </c>
      <c r="CT7">
        <v>267.35849999999999</v>
      </c>
      <c r="CU7">
        <v>812.35850000000005</v>
      </c>
      <c r="CV7">
        <v>56.358519999999999</v>
      </c>
      <c r="CW7">
        <v>4.3585209999999996</v>
      </c>
      <c r="CZ7">
        <v>198.35849999999999</v>
      </c>
      <c r="DB7">
        <v>211.35849999999999</v>
      </c>
      <c r="DF7">
        <v>39.358519999999999</v>
      </c>
      <c r="DG7">
        <v>399.35849999999999</v>
      </c>
      <c r="DI7">
        <v>377.35849999999999</v>
      </c>
      <c r="DK7">
        <v>415.35849999999999</v>
      </c>
      <c r="DL7">
        <v>70.358519999999999</v>
      </c>
      <c r="DP7">
        <v>478.35849999999999</v>
      </c>
      <c r="DQ7">
        <v>101.35850000000001</v>
      </c>
      <c r="DS7">
        <v>47.358519999999999</v>
      </c>
      <c r="DT7">
        <v>717.35850000000005</v>
      </c>
      <c r="DV7">
        <v>116.3585207</v>
      </c>
      <c r="DX7">
        <v>283.35849999999999</v>
      </c>
      <c r="DZ7">
        <v>1008.359</v>
      </c>
      <c r="EB7">
        <v>196.35849999999999</v>
      </c>
      <c r="EC7">
        <v>1531.3589999999999</v>
      </c>
      <c r="EE7">
        <v>646.35850000000005</v>
      </c>
      <c r="EG7" s="3">
        <f t="shared" si="0"/>
        <v>0.39583333333333331</v>
      </c>
    </row>
    <row r="8" spans="1:137" x14ac:dyDescent="0.25">
      <c r="A8" s="1">
        <v>121</v>
      </c>
      <c r="B8">
        <v>468.96809999999999</v>
      </c>
      <c r="C8">
        <v>11.222</v>
      </c>
      <c r="D8">
        <v>155.86000000000001</v>
      </c>
      <c r="E8" s="9" t="s">
        <v>429</v>
      </c>
      <c r="F8" s="10">
        <v>0.4375</v>
      </c>
      <c r="G8" t="s">
        <v>137</v>
      </c>
      <c r="H8" t="s">
        <v>138</v>
      </c>
      <c r="I8" t="s">
        <v>139</v>
      </c>
      <c r="J8">
        <v>20.984999999999999</v>
      </c>
      <c r="K8" t="s">
        <v>133</v>
      </c>
      <c r="L8" t="s">
        <v>152</v>
      </c>
      <c r="M8" t="s">
        <v>153</v>
      </c>
      <c r="N8" t="s">
        <v>154</v>
      </c>
      <c r="O8" t="s">
        <v>155</v>
      </c>
      <c r="P8">
        <v>-1</v>
      </c>
      <c r="Q8">
        <v>2</v>
      </c>
      <c r="R8">
        <v>105</v>
      </c>
      <c r="S8">
        <v>100</v>
      </c>
      <c r="U8" t="b">
        <v>0</v>
      </c>
      <c r="V8" t="s">
        <v>156</v>
      </c>
      <c r="W8">
        <v>469</v>
      </c>
      <c r="X8">
        <v>-3.1900000000007402E-2</v>
      </c>
      <c r="Y8">
        <v>468.9980554686</v>
      </c>
      <c r="Z8">
        <v>469</v>
      </c>
      <c r="AA8">
        <v>-1.9445313995447001E-3</v>
      </c>
      <c r="AB8">
        <v>35</v>
      </c>
      <c r="AC8">
        <v>7</v>
      </c>
      <c r="AD8">
        <v>2</v>
      </c>
      <c r="AE8" t="b">
        <v>1</v>
      </c>
      <c r="AF8" t="s">
        <v>142</v>
      </c>
      <c r="AG8" t="s">
        <v>143</v>
      </c>
      <c r="AH8" t="b">
        <v>1</v>
      </c>
      <c r="AI8" t="b">
        <v>1</v>
      </c>
      <c r="AJ8" t="b">
        <v>0</v>
      </c>
      <c r="AK8" t="b">
        <v>0</v>
      </c>
      <c r="AL8" t="s">
        <v>133</v>
      </c>
      <c r="AM8" t="s">
        <v>138</v>
      </c>
      <c r="AS8" t="s">
        <v>144</v>
      </c>
      <c r="AT8">
        <v>121</v>
      </c>
      <c r="AU8">
        <v>1120.452</v>
      </c>
      <c r="AV8">
        <v>4882.4520000000002</v>
      </c>
      <c r="AY8">
        <v>3306.4520000000002</v>
      </c>
      <c r="AZ8">
        <v>4670.4520000000002</v>
      </c>
      <c r="BA8">
        <v>1990.452</v>
      </c>
      <c r="BB8">
        <v>1.4518869999999999</v>
      </c>
      <c r="BD8">
        <v>536.45190000000002</v>
      </c>
      <c r="BG8">
        <v>167.45189999999999</v>
      </c>
      <c r="BH8">
        <v>1423.452</v>
      </c>
      <c r="BI8">
        <v>793.45190000000002</v>
      </c>
      <c r="BJ8">
        <v>3504.4520000000002</v>
      </c>
      <c r="BQ8">
        <v>1241.452</v>
      </c>
      <c r="BS8">
        <v>555.45190000000002</v>
      </c>
      <c r="BX8">
        <v>2250.4520000000002</v>
      </c>
      <c r="CC8">
        <v>1250.452</v>
      </c>
      <c r="CD8">
        <v>1620.452</v>
      </c>
      <c r="CE8">
        <v>31.451889999999999</v>
      </c>
      <c r="CF8">
        <v>1776.452</v>
      </c>
      <c r="CQ8">
        <v>4026.4520000000002</v>
      </c>
      <c r="CR8">
        <v>2584.4520000000002</v>
      </c>
      <c r="CS8">
        <v>1488.452</v>
      </c>
      <c r="CT8">
        <v>1330.452</v>
      </c>
      <c r="CU8">
        <v>5234.4520000000002</v>
      </c>
      <c r="CV8">
        <v>329.45190000000002</v>
      </c>
      <c r="CW8">
        <v>7.4518870000000001</v>
      </c>
      <c r="CZ8">
        <v>1080.452</v>
      </c>
      <c r="DB8">
        <v>1352.452</v>
      </c>
      <c r="DF8">
        <v>345.45190000000002</v>
      </c>
      <c r="DG8">
        <v>2206.4520000000002</v>
      </c>
      <c r="DI8">
        <v>2053.4520000000002</v>
      </c>
      <c r="DK8">
        <v>2199.4520000000002</v>
      </c>
      <c r="DL8">
        <v>410.45190000000002</v>
      </c>
      <c r="DP8">
        <v>3303.4520000000002</v>
      </c>
      <c r="DQ8">
        <v>125.45189999999999</v>
      </c>
      <c r="DS8">
        <v>51.451889999999999</v>
      </c>
      <c r="DT8">
        <v>3038.4520000000002</v>
      </c>
      <c r="DV8">
        <v>769.45188700000006</v>
      </c>
      <c r="DX8">
        <v>1454.452</v>
      </c>
      <c r="DZ8">
        <v>5525.4520000000002</v>
      </c>
      <c r="EB8">
        <v>718.45190000000002</v>
      </c>
      <c r="EC8">
        <v>8080.4520000000002</v>
      </c>
      <c r="EE8">
        <v>2911.4520000000002</v>
      </c>
      <c r="EG8" s="3">
        <f t="shared" si="0"/>
        <v>0.4375</v>
      </c>
    </row>
    <row r="9" spans="1:137" x14ac:dyDescent="0.25">
      <c r="A9" s="1">
        <v>326</v>
      </c>
      <c r="B9">
        <v>612.95230000000004</v>
      </c>
      <c r="C9">
        <v>12.462999999999999</v>
      </c>
      <c r="D9">
        <v>192.14</v>
      </c>
      <c r="E9" s="9" t="s">
        <v>429</v>
      </c>
      <c r="F9" s="10">
        <v>0.44791666666666669</v>
      </c>
      <c r="G9" t="s">
        <v>137</v>
      </c>
      <c r="H9" t="s">
        <v>138</v>
      </c>
      <c r="I9" t="s">
        <v>139</v>
      </c>
      <c r="J9">
        <v>26.042000000000002</v>
      </c>
      <c r="K9" t="s">
        <v>133</v>
      </c>
      <c r="L9" t="s">
        <v>166</v>
      </c>
      <c r="M9" t="s">
        <v>167</v>
      </c>
      <c r="N9" t="s">
        <v>162</v>
      </c>
      <c r="O9" t="s">
        <v>163</v>
      </c>
      <c r="P9">
        <v>-1</v>
      </c>
      <c r="Q9">
        <v>4</v>
      </c>
      <c r="R9">
        <v>91</v>
      </c>
      <c r="S9">
        <v>100</v>
      </c>
      <c r="U9" t="b">
        <v>0</v>
      </c>
      <c r="V9" t="s">
        <v>168</v>
      </c>
      <c r="W9">
        <v>613</v>
      </c>
      <c r="X9">
        <v>-4.7699999999963397E-2</v>
      </c>
      <c r="Y9">
        <v>612.99145249966102</v>
      </c>
      <c r="Z9">
        <v>613</v>
      </c>
      <c r="AA9">
        <v>-8.5475003390911002E-3</v>
      </c>
      <c r="AB9">
        <v>37</v>
      </c>
      <c r="AC9">
        <v>14</v>
      </c>
      <c r="AD9">
        <v>4</v>
      </c>
      <c r="AE9" t="b">
        <v>1</v>
      </c>
      <c r="AF9" t="s">
        <v>142</v>
      </c>
      <c r="AG9" t="s">
        <v>165</v>
      </c>
      <c r="AH9" t="b">
        <v>1</v>
      </c>
      <c r="AI9" t="b">
        <v>1</v>
      </c>
      <c r="AJ9" t="b">
        <v>1</v>
      </c>
      <c r="AK9" t="b">
        <v>0</v>
      </c>
      <c r="AL9" t="s">
        <v>133</v>
      </c>
      <c r="AM9" t="s">
        <v>138</v>
      </c>
      <c r="AS9" t="s">
        <v>144</v>
      </c>
      <c r="AT9">
        <v>326</v>
      </c>
      <c r="AV9">
        <v>255.18469999999999</v>
      </c>
      <c r="AX9">
        <v>679.18470000000002</v>
      </c>
      <c r="AZ9">
        <v>103.18470000000001</v>
      </c>
      <c r="BA9">
        <v>1314.1849999999999</v>
      </c>
      <c r="BB9">
        <v>965.18470000000002</v>
      </c>
      <c r="BD9">
        <v>580.18470000000002</v>
      </c>
      <c r="BG9">
        <v>1346.1849999999999</v>
      </c>
      <c r="BH9">
        <v>654.18470000000002</v>
      </c>
      <c r="BJ9">
        <v>1288.1849999999999</v>
      </c>
      <c r="BK9">
        <v>311.18470000000002</v>
      </c>
      <c r="BL9">
        <v>47.184682199999997</v>
      </c>
      <c r="BM9">
        <v>947.18470000000002</v>
      </c>
      <c r="BQ9">
        <v>8.1846820000000005</v>
      </c>
      <c r="BS9">
        <v>810.18470000000002</v>
      </c>
      <c r="BX9">
        <v>906.18470000000002</v>
      </c>
      <c r="CB9">
        <v>908.18470000000002</v>
      </c>
      <c r="CC9">
        <v>1062.1849999999999</v>
      </c>
      <c r="CD9">
        <v>1207.1849999999999</v>
      </c>
      <c r="CF9">
        <v>694.18470000000002</v>
      </c>
      <c r="CH9">
        <v>55.18468</v>
      </c>
      <c r="CO9">
        <v>43.18468</v>
      </c>
      <c r="CQ9">
        <v>2006.1849999999999</v>
      </c>
      <c r="CR9">
        <v>1215.1849999999999</v>
      </c>
      <c r="CS9">
        <v>951.18470000000002</v>
      </c>
      <c r="CT9">
        <v>1022.1849999999999</v>
      </c>
      <c r="CU9">
        <v>5250.1850000000004</v>
      </c>
      <c r="CV9">
        <v>1078.1849999999999</v>
      </c>
      <c r="CW9">
        <v>460.18470000000002</v>
      </c>
      <c r="CX9">
        <v>154.18469999999999</v>
      </c>
      <c r="CY9">
        <v>220.18469999999999</v>
      </c>
      <c r="CZ9">
        <v>727.18470000000002</v>
      </c>
      <c r="DB9">
        <v>1198.1849999999999</v>
      </c>
      <c r="DC9">
        <v>591.18470000000002</v>
      </c>
      <c r="DF9">
        <v>567.18470000000002</v>
      </c>
      <c r="DG9">
        <v>1008.1849999999999</v>
      </c>
      <c r="DI9">
        <v>848.18470000000002</v>
      </c>
      <c r="DK9">
        <v>776.18470000000002</v>
      </c>
      <c r="DL9">
        <v>699.18470000000002</v>
      </c>
      <c r="DS9">
        <v>226.18469999999999</v>
      </c>
      <c r="DV9">
        <v>144.1846822</v>
      </c>
      <c r="DZ9">
        <v>353.18470000000002</v>
      </c>
      <c r="EC9">
        <v>348.18470000000002</v>
      </c>
      <c r="EF9">
        <v>248.18469999999999</v>
      </c>
      <c r="EG9" s="3">
        <f t="shared" si="0"/>
        <v>0.44791666666666669</v>
      </c>
    </row>
    <row r="10" spans="1:137" x14ac:dyDescent="0.25">
      <c r="A10" s="1">
        <v>269</v>
      </c>
      <c r="B10">
        <v>568.96230000000003</v>
      </c>
      <c r="C10">
        <v>12.462999999999999</v>
      </c>
      <c r="D10">
        <v>172.43</v>
      </c>
      <c r="E10" s="9" t="s">
        <v>429</v>
      </c>
      <c r="F10" s="10">
        <v>0.32291666666666669</v>
      </c>
      <c r="G10" t="s">
        <v>137</v>
      </c>
      <c r="H10" t="s">
        <v>138</v>
      </c>
      <c r="I10" t="s">
        <v>139</v>
      </c>
      <c r="J10">
        <v>23.33</v>
      </c>
      <c r="K10" t="s">
        <v>133</v>
      </c>
      <c r="L10" t="s">
        <v>160</v>
      </c>
      <c r="M10" t="s">
        <v>161</v>
      </c>
      <c r="N10" t="s">
        <v>162</v>
      </c>
      <c r="O10" t="s">
        <v>163</v>
      </c>
      <c r="P10">
        <v>-1</v>
      </c>
      <c r="Q10">
        <v>3</v>
      </c>
      <c r="R10">
        <v>98</v>
      </c>
      <c r="S10">
        <v>100</v>
      </c>
      <c r="U10" t="b">
        <v>0</v>
      </c>
      <c r="V10" t="s">
        <v>164</v>
      </c>
      <c r="W10">
        <v>569</v>
      </c>
      <c r="X10">
        <v>-3.7699999999972499E-2</v>
      </c>
      <c r="Y10">
        <v>568.99864262610299</v>
      </c>
      <c r="Z10">
        <v>569</v>
      </c>
      <c r="AA10">
        <v>-1.357373897008E-3</v>
      </c>
      <c r="AB10">
        <v>37</v>
      </c>
      <c r="AC10">
        <v>17</v>
      </c>
      <c r="AD10">
        <v>4</v>
      </c>
      <c r="AE10" t="b">
        <v>1</v>
      </c>
      <c r="AF10" t="s">
        <v>142</v>
      </c>
      <c r="AG10" t="s">
        <v>165</v>
      </c>
      <c r="AH10" t="b">
        <v>1</v>
      </c>
      <c r="AI10" t="b">
        <v>1</v>
      </c>
      <c r="AJ10" t="b">
        <v>1</v>
      </c>
      <c r="AK10" t="b">
        <v>0</v>
      </c>
      <c r="AL10" t="s">
        <v>133</v>
      </c>
      <c r="AM10" t="s">
        <v>138</v>
      </c>
      <c r="AS10" t="s">
        <v>144</v>
      </c>
      <c r="AT10">
        <v>269</v>
      </c>
      <c r="AV10">
        <v>133.3263</v>
      </c>
      <c r="AX10">
        <v>800.32629999999995</v>
      </c>
      <c r="BA10">
        <v>1422.326</v>
      </c>
      <c r="BB10">
        <v>732.32629999999995</v>
      </c>
      <c r="BD10">
        <v>651.32629999999995</v>
      </c>
      <c r="BK10">
        <v>251.3263</v>
      </c>
      <c r="BM10">
        <v>985.32629999999995</v>
      </c>
      <c r="BS10">
        <v>868.32629999999995</v>
      </c>
      <c r="BX10">
        <v>840.32629999999995</v>
      </c>
      <c r="CB10">
        <v>936.32629999999995</v>
      </c>
      <c r="CC10">
        <v>1150.326</v>
      </c>
      <c r="CD10">
        <v>1187.326</v>
      </c>
      <c r="CF10">
        <v>820.32629999999995</v>
      </c>
      <c r="CO10">
        <v>103.3263</v>
      </c>
      <c r="CQ10">
        <v>2103.326</v>
      </c>
      <c r="CR10">
        <v>1505.326</v>
      </c>
      <c r="CS10">
        <v>1346.326</v>
      </c>
      <c r="CT10">
        <v>1457.326</v>
      </c>
      <c r="CU10">
        <v>6459.326</v>
      </c>
      <c r="CV10">
        <v>402.3263</v>
      </c>
      <c r="CW10">
        <v>287.3263</v>
      </c>
      <c r="CY10">
        <v>126.3263</v>
      </c>
      <c r="CZ10">
        <v>771.32629999999995</v>
      </c>
      <c r="DB10">
        <v>1154.326</v>
      </c>
      <c r="DC10">
        <v>554.32629999999995</v>
      </c>
      <c r="DF10">
        <v>625.32629999999995</v>
      </c>
      <c r="DG10">
        <v>1033.326</v>
      </c>
      <c r="DI10">
        <v>959.32629999999995</v>
      </c>
      <c r="DK10">
        <v>685.32629999999995</v>
      </c>
      <c r="DL10">
        <v>593.32629999999995</v>
      </c>
      <c r="EF10">
        <v>318.3263</v>
      </c>
      <c r="EG10" s="3">
        <f t="shared" si="0"/>
        <v>0.32291666666666669</v>
      </c>
    </row>
    <row r="11" spans="1:137" x14ac:dyDescent="0.25">
      <c r="A11" s="1">
        <v>75</v>
      </c>
      <c r="B11">
        <v>598.92380000000003</v>
      </c>
      <c r="C11">
        <v>11.861000000000001</v>
      </c>
      <c r="D11">
        <v>186.6</v>
      </c>
      <c r="E11" s="9" t="s">
        <v>429</v>
      </c>
      <c r="F11" s="10">
        <v>0.32291666666666669</v>
      </c>
      <c r="G11" t="s">
        <v>137</v>
      </c>
      <c r="H11" t="s">
        <v>138</v>
      </c>
      <c r="I11" t="s">
        <v>139</v>
      </c>
      <c r="J11">
        <v>25.28</v>
      </c>
      <c r="K11" t="s">
        <v>133</v>
      </c>
      <c r="L11" t="s">
        <v>134</v>
      </c>
      <c r="M11" t="s">
        <v>149</v>
      </c>
      <c r="N11" t="s">
        <v>150</v>
      </c>
      <c r="P11">
        <v>-1</v>
      </c>
      <c r="Q11">
        <v>4</v>
      </c>
      <c r="R11">
        <v>97</v>
      </c>
      <c r="S11">
        <v>100</v>
      </c>
      <c r="U11" t="b">
        <v>0</v>
      </c>
      <c r="V11" t="s">
        <v>151</v>
      </c>
      <c r="W11">
        <v>599</v>
      </c>
      <c r="X11">
        <v>-7.6199999999971596E-2</v>
      </c>
      <c r="Y11">
        <v>598.96205642529799</v>
      </c>
      <c r="Z11">
        <v>599</v>
      </c>
      <c r="AA11">
        <v>-3.7943574701557702E-2</v>
      </c>
      <c r="AB11">
        <v>34</v>
      </c>
      <c r="AC11">
        <v>11</v>
      </c>
      <c r="AD11">
        <v>3</v>
      </c>
      <c r="AE11" t="b">
        <v>1</v>
      </c>
      <c r="AF11" t="s">
        <v>142</v>
      </c>
      <c r="AG11" t="s">
        <v>143</v>
      </c>
      <c r="AH11" t="b">
        <v>1</v>
      </c>
      <c r="AI11" t="b">
        <v>1</v>
      </c>
      <c r="AJ11" t="b">
        <v>1</v>
      </c>
      <c r="AK11" t="b">
        <v>0</v>
      </c>
      <c r="AL11" t="s">
        <v>133</v>
      </c>
      <c r="AM11" t="s">
        <v>138</v>
      </c>
      <c r="AS11" t="s">
        <v>144</v>
      </c>
      <c r="AT11">
        <v>75</v>
      </c>
      <c r="AV11">
        <v>7394.7219999999998</v>
      </c>
      <c r="AX11">
        <v>6912.7219999999998</v>
      </c>
      <c r="BA11">
        <v>11308.72</v>
      </c>
      <c r="BB11">
        <v>1895.722</v>
      </c>
      <c r="BD11">
        <v>5560.7219999999998</v>
      </c>
      <c r="BG11">
        <v>6980.7219999999998</v>
      </c>
      <c r="BJ11">
        <v>10517.72</v>
      </c>
      <c r="BK11">
        <v>1272.722</v>
      </c>
      <c r="BM11">
        <v>6381.7219999999998</v>
      </c>
      <c r="BS11">
        <v>1058.722</v>
      </c>
      <c r="BW11">
        <v>3494.7220000000002</v>
      </c>
      <c r="BX11">
        <v>2060.7220000000002</v>
      </c>
      <c r="CC11">
        <v>6300.7219999999998</v>
      </c>
      <c r="CD11">
        <v>6392.7219999999998</v>
      </c>
      <c r="CF11">
        <v>8590.7219999999998</v>
      </c>
      <c r="CH11">
        <v>3007.7220000000002</v>
      </c>
      <c r="CQ11">
        <v>1294.722</v>
      </c>
      <c r="CR11">
        <v>6804.7219999999998</v>
      </c>
      <c r="CS11">
        <v>1011.722</v>
      </c>
      <c r="CT11">
        <v>2948.7220000000002</v>
      </c>
      <c r="CU11">
        <v>7349.7219999999998</v>
      </c>
      <c r="CV11">
        <v>395.72149999999999</v>
      </c>
      <c r="CW11">
        <v>1883.722</v>
      </c>
      <c r="CZ11">
        <v>2366.7220000000002</v>
      </c>
      <c r="DB11">
        <v>3623.7220000000002</v>
      </c>
      <c r="DC11">
        <v>1920.722</v>
      </c>
      <c r="DD11">
        <v>397.72149999999999</v>
      </c>
      <c r="DG11">
        <v>21478.720000000001</v>
      </c>
      <c r="DI11">
        <v>443.72149999999999</v>
      </c>
      <c r="DK11">
        <v>3656.7220000000002</v>
      </c>
      <c r="DL11">
        <v>2725.7220000000002</v>
      </c>
      <c r="EG11" s="3">
        <f t="shared" si="0"/>
        <v>0.32291666666666669</v>
      </c>
    </row>
    <row r="12" spans="1:137" x14ac:dyDescent="0.25">
      <c r="A12" s="1">
        <v>606</v>
      </c>
      <c r="B12">
        <v>598.92139999999995</v>
      </c>
      <c r="C12">
        <v>11.689</v>
      </c>
      <c r="D12">
        <v>184.57</v>
      </c>
      <c r="E12" s="9" t="s">
        <v>429</v>
      </c>
      <c r="F12" s="10">
        <v>2.0833333333333332E-2</v>
      </c>
      <c r="G12" t="s">
        <v>137</v>
      </c>
      <c r="H12" t="s">
        <v>185</v>
      </c>
      <c r="I12" t="s">
        <v>139</v>
      </c>
      <c r="J12">
        <v>25</v>
      </c>
      <c r="K12" t="s">
        <v>180</v>
      </c>
      <c r="L12" t="s">
        <v>181</v>
      </c>
      <c r="M12" t="s">
        <v>149</v>
      </c>
      <c r="N12" t="s">
        <v>150</v>
      </c>
      <c r="P12">
        <v>-1</v>
      </c>
      <c r="Q12">
        <v>3</v>
      </c>
      <c r="R12">
        <v>78</v>
      </c>
      <c r="S12">
        <v>100</v>
      </c>
      <c r="U12" t="b">
        <v>0</v>
      </c>
      <c r="V12" t="s">
        <v>151</v>
      </c>
      <c r="W12">
        <v>599</v>
      </c>
      <c r="X12">
        <v>-7.8600000000051296E-2</v>
      </c>
      <c r="Y12">
        <v>598.95965627199803</v>
      </c>
      <c r="Z12">
        <v>599</v>
      </c>
      <c r="AA12">
        <v>-4.0343728002312701E-2</v>
      </c>
      <c r="AB12">
        <v>30</v>
      </c>
      <c r="AC12">
        <v>0</v>
      </c>
      <c r="AD12">
        <v>0</v>
      </c>
      <c r="AE12" t="b">
        <v>1</v>
      </c>
      <c r="AH12" t="b">
        <v>1</v>
      </c>
      <c r="AI12" t="b">
        <v>0</v>
      </c>
      <c r="AJ12" t="b">
        <v>0</v>
      </c>
      <c r="AK12" t="b">
        <v>0</v>
      </c>
      <c r="AL12" t="s">
        <v>180</v>
      </c>
      <c r="AM12" t="s">
        <v>185</v>
      </c>
      <c r="AS12" t="s">
        <v>144</v>
      </c>
      <c r="AT12">
        <v>606</v>
      </c>
      <c r="CI12">
        <v>442.46870000000001</v>
      </c>
      <c r="DO12">
        <v>66.468680000000006</v>
      </c>
      <c r="EG12" s="3">
        <f t="shared" si="0"/>
        <v>2.0833333333333332E-2</v>
      </c>
    </row>
    <row r="13" spans="1:137" x14ac:dyDescent="0.25">
      <c r="A13" s="1">
        <v>237</v>
      </c>
      <c r="B13">
        <v>448.93180000000001</v>
      </c>
      <c r="C13">
        <v>9.5790000000000006</v>
      </c>
      <c r="D13">
        <v>159.79</v>
      </c>
      <c r="E13" s="9" t="s">
        <v>429</v>
      </c>
      <c r="F13" s="10">
        <v>0.33333333333333331</v>
      </c>
      <c r="G13" t="s">
        <v>137</v>
      </c>
      <c r="H13" t="s">
        <v>138</v>
      </c>
      <c r="I13" t="s">
        <v>139</v>
      </c>
      <c r="J13">
        <v>21.486000000000001</v>
      </c>
      <c r="K13" t="s">
        <v>133</v>
      </c>
      <c r="L13" t="s">
        <v>145</v>
      </c>
      <c r="M13" t="s">
        <v>157</v>
      </c>
      <c r="N13" t="s">
        <v>158</v>
      </c>
      <c r="P13">
        <v>-1</v>
      </c>
      <c r="Q13">
        <v>3</v>
      </c>
      <c r="R13">
        <v>94</v>
      </c>
      <c r="S13">
        <v>100</v>
      </c>
      <c r="U13" t="b">
        <v>0</v>
      </c>
      <c r="V13" t="s">
        <v>159</v>
      </c>
      <c r="W13">
        <v>449</v>
      </c>
      <c r="X13">
        <v>-6.8199999999990296E-2</v>
      </c>
      <c r="Y13">
        <v>448.96047564433201</v>
      </c>
      <c r="Z13">
        <v>449</v>
      </c>
      <c r="AA13">
        <v>-3.9524355667992901E-2</v>
      </c>
      <c r="AB13">
        <v>35</v>
      </c>
      <c r="AC13">
        <v>10</v>
      </c>
      <c r="AD13">
        <v>5</v>
      </c>
      <c r="AE13" t="b">
        <v>1</v>
      </c>
      <c r="AF13" t="s">
        <v>142</v>
      </c>
      <c r="AG13" t="s">
        <v>143</v>
      </c>
      <c r="AH13" t="b">
        <v>1</v>
      </c>
      <c r="AI13" t="b">
        <v>1</v>
      </c>
      <c r="AJ13" t="b">
        <v>1</v>
      </c>
      <c r="AK13" t="b">
        <v>0</v>
      </c>
      <c r="AL13" t="s">
        <v>133</v>
      </c>
      <c r="AM13" t="s">
        <v>138</v>
      </c>
      <c r="AS13" t="s">
        <v>144</v>
      </c>
      <c r="AT13">
        <v>237</v>
      </c>
      <c r="AX13">
        <v>1355.6859999999999</v>
      </c>
      <c r="BA13">
        <v>921.68600000000004</v>
      </c>
      <c r="BB13">
        <v>46.686010000000003</v>
      </c>
      <c r="BD13">
        <v>1133.6859999999999</v>
      </c>
      <c r="BJ13">
        <v>3159.6860000000001</v>
      </c>
      <c r="BK13">
        <v>304.68599999999998</v>
      </c>
      <c r="BM13">
        <v>1432.6859999999999</v>
      </c>
      <c r="BP13">
        <v>355.68599999999998</v>
      </c>
      <c r="BX13">
        <v>537.68600000000004</v>
      </c>
      <c r="CB13">
        <v>216.68600000000001</v>
      </c>
      <c r="CC13">
        <v>1472.6859999999999</v>
      </c>
      <c r="CD13">
        <v>2172.6860000000001</v>
      </c>
      <c r="CF13">
        <v>2823.6860000000001</v>
      </c>
      <c r="CH13">
        <v>63.686010000000003</v>
      </c>
      <c r="CQ13">
        <v>778.68600000000004</v>
      </c>
      <c r="CR13">
        <v>1233.6859999999999</v>
      </c>
      <c r="CS13">
        <v>925.68600000000004</v>
      </c>
      <c r="CT13">
        <v>1474.6859999999999</v>
      </c>
      <c r="CU13">
        <v>1501.6859999999999</v>
      </c>
      <c r="CV13">
        <v>619.68600000000004</v>
      </c>
      <c r="CW13">
        <v>28.68601</v>
      </c>
      <c r="CY13">
        <v>16.68601</v>
      </c>
      <c r="CZ13">
        <v>545.68600000000004</v>
      </c>
      <c r="DB13">
        <v>1478.6859999999999</v>
      </c>
      <c r="DC13">
        <v>1053.6859999999999</v>
      </c>
      <c r="DF13">
        <v>129.68600000000001</v>
      </c>
      <c r="DG13">
        <v>2856.6860000000001</v>
      </c>
      <c r="DI13">
        <v>349.68599999999998</v>
      </c>
      <c r="DK13">
        <v>3605.6860000000001</v>
      </c>
      <c r="DS13">
        <v>596.68600000000004</v>
      </c>
      <c r="EC13">
        <v>1019.686</v>
      </c>
      <c r="EF13">
        <v>121.68600000000001</v>
      </c>
      <c r="EG13" s="3">
        <f t="shared" si="0"/>
        <v>0.33333333333333331</v>
      </c>
    </row>
    <row r="14" spans="1:137" x14ac:dyDescent="0.25">
      <c r="A14" s="1">
        <v>44</v>
      </c>
      <c r="B14">
        <v>398.93599999999998</v>
      </c>
      <c r="C14">
        <v>8.51</v>
      </c>
      <c r="D14">
        <v>150.88</v>
      </c>
      <c r="E14" s="9" t="s">
        <v>429</v>
      </c>
      <c r="F14" s="10">
        <v>0.39583333333333331</v>
      </c>
      <c r="G14" t="s">
        <v>137</v>
      </c>
      <c r="H14" t="s">
        <v>138</v>
      </c>
      <c r="I14" t="s">
        <v>139</v>
      </c>
      <c r="J14">
        <v>20.213999999999999</v>
      </c>
      <c r="K14" t="s">
        <v>133</v>
      </c>
      <c r="L14" t="s">
        <v>145</v>
      </c>
      <c r="M14" t="s">
        <v>146</v>
      </c>
      <c r="N14" t="s">
        <v>147</v>
      </c>
      <c r="P14">
        <v>-1</v>
      </c>
      <c r="Q14">
        <v>3</v>
      </c>
      <c r="R14">
        <v>102</v>
      </c>
      <c r="S14">
        <v>100</v>
      </c>
      <c r="U14" t="b">
        <v>0</v>
      </c>
      <c r="V14" t="s">
        <v>148</v>
      </c>
      <c r="W14">
        <v>399</v>
      </c>
      <c r="X14">
        <v>-6.4000000000021401E-2</v>
      </c>
      <c r="Y14">
        <v>398.96148214861898</v>
      </c>
      <c r="Z14">
        <v>399</v>
      </c>
      <c r="AA14">
        <v>-3.8517851381413899E-2</v>
      </c>
      <c r="AB14">
        <v>35</v>
      </c>
      <c r="AC14">
        <v>10</v>
      </c>
      <c r="AD14">
        <v>5</v>
      </c>
      <c r="AE14" t="b">
        <v>1</v>
      </c>
      <c r="AF14" t="s">
        <v>142</v>
      </c>
      <c r="AG14" t="s">
        <v>143</v>
      </c>
      <c r="AH14" t="b">
        <v>1</v>
      </c>
      <c r="AI14" t="b">
        <v>1</v>
      </c>
      <c r="AJ14" t="b">
        <v>1</v>
      </c>
      <c r="AK14" t="b">
        <v>0</v>
      </c>
      <c r="AL14" t="s">
        <v>133</v>
      </c>
      <c r="AM14" t="s">
        <v>138</v>
      </c>
      <c r="AS14" t="s">
        <v>144</v>
      </c>
      <c r="AT14">
        <v>44</v>
      </c>
      <c r="AX14">
        <v>9385.6880000000001</v>
      </c>
      <c r="BD14">
        <v>10737.69</v>
      </c>
      <c r="BJ14">
        <v>18066.689999999999</v>
      </c>
      <c r="BK14">
        <v>3289.6880000000001</v>
      </c>
      <c r="BL14">
        <v>2061.6879454</v>
      </c>
      <c r="BM14">
        <v>16616.689999999999</v>
      </c>
      <c r="BP14">
        <v>2332.6880000000001</v>
      </c>
      <c r="BS14">
        <v>10919.69</v>
      </c>
      <c r="BX14">
        <v>9290.6880000000001</v>
      </c>
      <c r="CB14">
        <v>15364.69</v>
      </c>
      <c r="CC14">
        <v>1015.688</v>
      </c>
      <c r="CD14">
        <v>16212.69</v>
      </c>
      <c r="CF14">
        <v>9199.6880000000001</v>
      </c>
      <c r="CG14">
        <v>8218.6880000000001</v>
      </c>
      <c r="CK14">
        <v>1964.6880000000001</v>
      </c>
      <c r="CO14">
        <v>2356.6880000000001</v>
      </c>
      <c r="CQ14">
        <v>5388.6880000000001</v>
      </c>
      <c r="CR14">
        <v>7146.6880000000001</v>
      </c>
      <c r="CS14">
        <v>10867.69</v>
      </c>
      <c r="CT14">
        <v>5188.6880000000001</v>
      </c>
      <c r="CU14">
        <v>4272.6880000000001</v>
      </c>
      <c r="CV14">
        <v>5518.6880000000001</v>
      </c>
      <c r="CW14">
        <v>5899.6880000000001</v>
      </c>
      <c r="CX14">
        <v>13293.69</v>
      </c>
      <c r="CY14">
        <v>5047.6880000000001</v>
      </c>
      <c r="CZ14">
        <v>9165.6880000000001</v>
      </c>
      <c r="DA14">
        <v>2850.6880000000001</v>
      </c>
      <c r="DB14">
        <v>11044.69</v>
      </c>
      <c r="DC14">
        <v>11028.69</v>
      </c>
      <c r="DF14">
        <v>2158.6880000000001</v>
      </c>
      <c r="DG14">
        <v>3610.6880000000001</v>
      </c>
      <c r="DH14">
        <v>4467.6879454</v>
      </c>
      <c r="DI14">
        <v>2319.6880000000001</v>
      </c>
      <c r="DJ14">
        <v>8171.6880000000001</v>
      </c>
      <c r="DK14">
        <v>7036.6880000000001</v>
      </c>
      <c r="DS14">
        <v>264.68790000000001</v>
      </c>
      <c r="DV14">
        <v>3313.6879454</v>
      </c>
      <c r="EF14">
        <v>3762.6880000000001</v>
      </c>
      <c r="EG14" s="3">
        <f t="shared" si="0"/>
        <v>0.39583333333333331</v>
      </c>
    </row>
    <row r="15" spans="1:137" x14ac:dyDescent="0.25">
      <c r="A15" s="1">
        <v>1985</v>
      </c>
      <c r="B15">
        <v>398.93430000000001</v>
      </c>
      <c r="C15">
        <v>8.2680000000000007</v>
      </c>
      <c r="D15">
        <v>149.22999999999999</v>
      </c>
      <c r="E15" s="9" t="s">
        <v>429</v>
      </c>
      <c r="F15" s="10">
        <v>1.0416666666666666E-2</v>
      </c>
      <c r="G15" t="s">
        <v>137</v>
      </c>
      <c r="H15" t="s">
        <v>138</v>
      </c>
      <c r="I15" t="s">
        <v>139</v>
      </c>
      <c r="J15">
        <v>19.989999999999998</v>
      </c>
      <c r="K15" t="s">
        <v>133</v>
      </c>
      <c r="L15" t="s">
        <v>145</v>
      </c>
      <c r="M15" t="s">
        <v>146</v>
      </c>
      <c r="N15" t="s">
        <v>147</v>
      </c>
      <c r="P15">
        <v>-1</v>
      </c>
      <c r="Q15">
        <v>1</v>
      </c>
      <c r="R15">
        <v>41</v>
      </c>
      <c r="S15">
        <v>99</v>
      </c>
      <c r="U15" t="b">
        <v>0</v>
      </c>
      <c r="V15" t="s">
        <v>148</v>
      </c>
      <c r="W15">
        <v>399</v>
      </c>
      <c r="X15">
        <v>-6.5699999999992501E-2</v>
      </c>
      <c r="Y15">
        <v>398.95978204003097</v>
      </c>
      <c r="Z15">
        <v>399</v>
      </c>
      <c r="AA15">
        <v>-4.0217959969368201E-2</v>
      </c>
      <c r="AB15">
        <v>28</v>
      </c>
      <c r="AC15">
        <v>10</v>
      </c>
      <c r="AD15">
        <v>3</v>
      </c>
      <c r="AE15" t="b">
        <v>1</v>
      </c>
      <c r="AF15" t="s">
        <v>142</v>
      </c>
      <c r="AG15" t="s">
        <v>143</v>
      </c>
      <c r="AH15" t="b">
        <v>1</v>
      </c>
      <c r="AI15" t="b">
        <v>1</v>
      </c>
      <c r="AJ15" t="b">
        <v>1</v>
      </c>
      <c r="AK15" t="b">
        <v>0</v>
      </c>
      <c r="AL15" t="s">
        <v>133</v>
      </c>
      <c r="AM15" t="s">
        <v>138</v>
      </c>
      <c r="AS15" t="s">
        <v>144</v>
      </c>
      <c r="AT15">
        <v>1985</v>
      </c>
      <c r="DT15">
        <v>200.3186</v>
      </c>
      <c r="EG15" s="3">
        <f t="shared" si="0"/>
        <v>1.0416666666666666E-2</v>
      </c>
    </row>
    <row r="16" spans="1:137" x14ac:dyDescent="0.25">
      <c r="A16" s="1">
        <v>8367</v>
      </c>
      <c r="B16">
        <v>462.9606</v>
      </c>
      <c r="C16">
        <v>10.441000000000001</v>
      </c>
      <c r="D16">
        <v>165.5</v>
      </c>
      <c r="E16" s="9" t="s">
        <v>429</v>
      </c>
      <c r="F16" s="10">
        <v>0.11458333333333333</v>
      </c>
      <c r="G16" t="s">
        <v>137</v>
      </c>
      <c r="H16" t="s">
        <v>138</v>
      </c>
      <c r="I16" t="s">
        <v>139</v>
      </c>
      <c r="J16">
        <v>22.273</v>
      </c>
      <c r="K16" t="s">
        <v>133</v>
      </c>
      <c r="L16" t="s">
        <v>166</v>
      </c>
      <c r="M16" t="s">
        <v>217</v>
      </c>
      <c r="N16" t="s">
        <v>170</v>
      </c>
      <c r="O16" t="s">
        <v>171</v>
      </c>
      <c r="P16">
        <v>-1</v>
      </c>
      <c r="Q16">
        <v>1</v>
      </c>
      <c r="R16">
        <v>11</v>
      </c>
      <c r="S16">
        <v>97.3</v>
      </c>
      <c r="U16" t="b">
        <v>0</v>
      </c>
      <c r="V16" t="s">
        <v>218</v>
      </c>
      <c r="W16">
        <v>463</v>
      </c>
      <c r="X16">
        <v>-3.9400000000000497E-2</v>
      </c>
      <c r="Y16">
        <v>462.990171737857</v>
      </c>
      <c r="Z16">
        <v>463</v>
      </c>
      <c r="AA16">
        <v>-9.8282621428893002E-3</v>
      </c>
      <c r="AB16">
        <v>37</v>
      </c>
      <c r="AC16">
        <v>14</v>
      </c>
      <c r="AD16">
        <v>4</v>
      </c>
      <c r="AE16" t="b">
        <v>1</v>
      </c>
      <c r="AF16" t="s">
        <v>142</v>
      </c>
      <c r="AG16" t="s">
        <v>165</v>
      </c>
      <c r="AH16" t="b">
        <v>1</v>
      </c>
      <c r="AI16" t="b">
        <v>1</v>
      </c>
      <c r="AJ16" t="b">
        <v>1</v>
      </c>
      <c r="AK16" t="b">
        <v>0</v>
      </c>
      <c r="AL16" t="s">
        <v>133</v>
      </c>
      <c r="AM16" t="s">
        <v>138</v>
      </c>
      <c r="AS16" t="s">
        <v>144</v>
      </c>
      <c r="AT16">
        <v>8367</v>
      </c>
      <c r="AV16">
        <v>142.999</v>
      </c>
      <c r="AY16">
        <v>100.999</v>
      </c>
      <c r="BC16">
        <v>56.999000000000002</v>
      </c>
      <c r="BS16">
        <v>89.998999999999995</v>
      </c>
      <c r="CH16">
        <v>71.998999999999995</v>
      </c>
      <c r="CR16">
        <v>114.999</v>
      </c>
      <c r="DP16">
        <v>56.999000000000002</v>
      </c>
      <c r="DY16">
        <v>55.999000000000002</v>
      </c>
      <c r="EB16">
        <v>87.998999999999995</v>
      </c>
      <c r="ED16">
        <v>79.998999999999995</v>
      </c>
      <c r="EE16">
        <v>119.999</v>
      </c>
      <c r="EG16" s="3">
        <f t="shared" si="0"/>
        <v>0.11458333333333333</v>
      </c>
    </row>
    <row r="17" spans="1:137" x14ac:dyDescent="0.25">
      <c r="A17" s="1">
        <v>330</v>
      </c>
      <c r="B17">
        <v>418.97160000000002</v>
      </c>
      <c r="C17">
        <v>10.44</v>
      </c>
      <c r="D17">
        <v>147.38</v>
      </c>
      <c r="E17" s="9" t="s">
        <v>429</v>
      </c>
      <c r="F17" s="10">
        <v>0.10416666666666667</v>
      </c>
      <c r="G17" t="s">
        <v>137</v>
      </c>
      <c r="H17" t="s">
        <v>138</v>
      </c>
      <c r="I17" t="s">
        <v>139</v>
      </c>
      <c r="J17">
        <v>19.776</v>
      </c>
      <c r="K17" t="s">
        <v>133</v>
      </c>
      <c r="L17" t="s">
        <v>160</v>
      </c>
      <c r="M17" t="s">
        <v>169</v>
      </c>
      <c r="N17" t="s">
        <v>170</v>
      </c>
      <c r="O17" t="s">
        <v>171</v>
      </c>
      <c r="P17">
        <v>-1</v>
      </c>
      <c r="Q17">
        <v>2</v>
      </c>
      <c r="R17">
        <v>107</v>
      </c>
      <c r="S17">
        <v>100</v>
      </c>
      <c r="U17" t="b">
        <v>0</v>
      </c>
      <c r="V17" t="s">
        <v>172</v>
      </c>
      <c r="W17">
        <v>419</v>
      </c>
      <c r="X17">
        <v>-2.8399999999976399E-2</v>
      </c>
      <c r="Y17">
        <v>418.99836192817401</v>
      </c>
      <c r="Z17">
        <v>419</v>
      </c>
      <c r="AA17">
        <v>-1.6380718255959001E-3</v>
      </c>
      <c r="AB17">
        <v>37</v>
      </c>
      <c r="AC17">
        <v>17</v>
      </c>
      <c r="AD17">
        <v>4</v>
      </c>
      <c r="AE17" t="b">
        <v>1</v>
      </c>
      <c r="AF17" t="s">
        <v>142</v>
      </c>
      <c r="AG17" t="s">
        <v>143</v>
      </c>
      <c r="AH17" t="b">
        <v>1</v>
      </c>
      <c r="AI17" t="b">
        <v>1</v>
      </c>
      <c r="AJ17" t="b">
        <v>1</v>
      </c>
      <c r="AK17" t="b">
        <v>0</v>
      </c>
      <c r="AL17" t="s">
        <v>133</v>
      </c>
      <c r="AM17" t="s">
        <v>138</v>
      </c>
      <c r="AS17" t="s">
        <v>144</v>
      </c>
      <c r="AT17">
        <v>330</v>
      </c>
      <c r="AV17">
        <v>726.53300000000002</v>
      </c>
      <c r="AZ17">
        <v>278.53300000000002</v>
      </c>
      <c r="BG17">
        <v>207.53299999999999</v>
      </c>
      <c r="BX17">
        <v>242.53299999999999</v>
      </c>
      <c r="CH17">
        <v>104.533</v>
      </c>
      <c r="CS17">
        <v>99.533029999999997</v>
      </c>
      <c r="DP17">
        <v>97.533029999999997</v>
      </c>
      <c r="DV17">
        <v>443.53302730000001</v>
      </c>
      <c r="EC17">
        <v>675.53300000000002</v>
      </c>
      <c r="EE17">
        <v>501.53300000000002</v>
      </c>
      <c r="EG17" s="3">
        <f t="shared" si="0"/>
        <v>0.10416666666666667</v>
      </c>
    </row>
    <row r="18" spans="1:137" s="11" customFormat="1" x14ac:dyDescent="0.25">
      <c r="A18" s="13">
        <v>3331</v>
      </c>
      <c r="B18" s="11">
        <v>418.96940000000001</v>
      </c>
      <c r="C18" s="11">
        <v>13.012</v>
      </c>
      <c r="D18" s="11">
        <v>147.44</v>
      </c>
      <c r="E18" s="11" t="s">
        <v>431</v>
      </c>
      <c r="F18" s="12">
        <v>0.11458333333333333</v>
      </c>
      <c r="G18" s="11" t="s">
        <v>137</v>
      </c>
      <c r="H18" s="11" t="s">
        <v>138</v>
      </c>
      <c r="I18" s="11" t="s">
        <v>139</v>
      </c>
      <c r="J18" s="11">
        <v>19.779</v>
      </c>
      <c r="K18" s="11" t="s">
        <v>133</v>
      </c>
      <c r="L18" s="11" t="s">
        <v>208</v>
      </c>
      <c r="M18" s="11" t="s">
        <v>169</v>
      </c>
      <c r="N18" s="11" t="s">
        <v>170</v>
      </c>
      <c r="O18" s="11" t="s">
        <v>171</v>
      </c>
      <c r="P18" s="11">
        <v>-1</v>
      </c>
      <c r="Q18" s="11">
        <v>1</v>
      </c>
      <c r="R18" s="11">
        <v>45</v>
      </c>
      <c r="S18" s="11">
        <v>99.8</v>
      </c>
      <c r="U18" s="11" t="b">
        <v>0</v>
      </c>
      <c r="V18" s="11" t="s">
        <v>172</v>
      </c>
      <c r="W18" s="11">
        <v>419</v>
      </c>
      <c r="X18" s="11">
        <v>-3.0599999999992598E-2</v>
      </c>
      <c r="Y18" s="11">
        <v>418.99616178764899</v>
      </c>
      <c r="Z18" s="11">
        <v>419</v>
      </c>
      <c r="AA18" s="11">
        <v>-3.8382123511836999E-3</v>
      </c>
      <c r="AB18" s="11">
        <v>35</v>
      </c>
      <c r="AC18" s="11">
        <v>6</v>
      </c>
      <c r="AD18" s="11">
        <v>5</v>
      </c>
      <c r="AE18" s="11" t="b">
        <v>1</v>
      </c>
      <c r="AF18" s="11" t="s">
        <v>212</v>
      </c>
      <c r="AG18" s="11" t="s">
        <v>143</v>
      </c>
      <c r="AH18" s="11" t="b">
        <v>1</v>
      </c>
      <c r="AI18" s="11" t="b">
        <v>1</v>
      </c>
      <c r="AJ18" s="11" t="b">
        <v>1</v>
      </c>
      <c r="AK18" s="11" t="b">
        <v>0</v>
      </c>
      <c r="AL18" s="11" t="s">
        <v>133</v>
      </c>
      <c r="AM18" s="11" t="s">
        <v>138</v>
      </c>
      <c r="AS18" s="11" t="s">
        <v>144</v>
      </c>
      <c r="AT18" s="11">
        <v>3331</v>
      </c>
      <c r="BM18" s="11">
        <v>126.6734</v>
      </c>
      <c r="BQ18" s="11">
        <v>39.673450000000003</v>
      </c>
      <c r="BR18" s="11">
        <v>128.67339999999999</v>
      </c>
      <c r="BY18" s="11">
        <v>68.673450000000003</v>
      </c>
      <c r="CC18" s="11">
        <v>6.6734489999999997</v>
      </c>
      <c r="CR18" s="11">
        <v>27.673449999999999</v>
      </c>
      <c r="CU18" s="11">
        <v>146.67339999999999</v>
      </c>
      <c r="DJ18" s="11">
        <v>2.6734490000000002</v>
      </c>
      <c r="DQ18" s="11">
        <v>150.67339999999999</v>
      </c>
      <c r="DS18" s="11">
        <v>84.673450000000003</v>
      </c>
      <c r="DW18" s="11">
        <v>38.673450000000003</v>
      </c>
      <c r="EG18" s="12">
        <f t="shared" si="0"/>
        <v>0.11458333333333333</v>
      </c>
    </row>
    <row r="19" spans="1:137" x14ac:dyDescent="0.25">
      <c r="A19" s="1">
        <v>373</v>
      </c>
      <c r="B19">
        <v>548.92589999999996</v>
      </c>
      <c r="C19">
        <v>11.215999999999999</v>
      </c>
      <c r="D19">
        <v>177.67</v>
      </c>
      <c r="E19" s="9" t="s">
        <v>429</v>
      </c>
      <c r="F19" s="10">
        <v>0.42708333333333331</v>
      </c>
      <c r="G19" t="s">
        <v>137</v>
      </c>
      <c r="H19" t="s">
        <v>138</v>
      </c>
      <c r="I19" t="s">
        <v>139</v>
      </c>
      <c r="J19">
        <v>24.018999999999998</v>
      </c>
      <c r="K19" t="s">
        <v>133</v>
      </c>
      <c r="L19" t="s">
        <v>145</v>
      </c>
      <c r="M19" t="s">
        <v>173</v>
      </c>
      <c r="N19" t="s">
        <v>174</v>
      </c>
      <c r="P19">
        <v>-1</v>
      </c>
      <c r="Q19">
        <v>3</v>
      </c>
      <c r="R19">
        <v>65</v>
      </c>
      <c r="S19">
        <v>100</v>
      </c>
      <c r="U19" t="b">
        <v>0</v>
      </c>
      <c r="V19" t="s">
        <v>175</v>
      </c>
      <c r="W19">
        <v>549</v>
      </c>
      <c r="X19">
        <v>-7.4100000000044006E-2</v>
      </c>
      <c r="Y19">
        <v>548.96096279544702</v>
      </c>
      <c r="Z19">
        <v>549</v>
      </c>
      <c r="AA19">
        <v>-3.9037204553096699E-2</v>
      </c>
      <c r="AB19">
        <v>35</v>
      </c>
      <c r="AC19">
        <v>10</v>
      </c>
      <c r="AD19">
        <v>5</v>
      </c>
      <c r="AE19" t="b">
        <v>1</v>
      </c>
      <c r="AF19" t="s">
        <v>142</v>
      </c>
      <c r="AG19" t="s">
        <v>143</v>
      </c>
      <c r="AH19" t="b">
        <v>1</v>
      </c>
      <c r="AI19" t="b">
        <v>1</v>
      </c>
      <c r="AJ19" t="b">
        <v>1</v>
      </c>
      <c r="AK19" t="b">
        <v>0</v>
      </c>
      <c r="AL19" t="s">
        <v>133</v>
      </c>
      <c r="AM19" t="s">
        <v>138</v>
      </c>
      <c r="AS19" t="s">
        <v>144</v>
      </c>
      <c r="AT19">
        <v>373</v>
      </c>
      <c r="AX19">
        <v>996.33339999999998</v>
      </c>
      <c r="BA19">
        <v>2241.3330000000001</v>
      </c>
      <c r="BB19">
        <v>348.33339999999998</v>
      </c>
      <c r="BD19">
        <v>937.33339999999998</v>
      </c>
      <c r="BG19">
        <v>1088.3330000000001</v>
      </c>
      <c r="BJ19">
        <v>2397.3330000000001</v>
      </c>
      <c r="BK19">
        <v>437.33339999999998</v>
      </c>
      <c r="BL19">
        <v>237.33340609999999</v>
      </c>
      <c r="BM19">
        <v>801.33339999999998</v>
      </c>
      <c r="BP19">
        <v>167.33340000000001</v>
      </c>
      <c r="BS19">
        <v>470.33339999999998</v>
      </c>
      <c r="BV19">
        <v>407.33339999999998</v>
      </c>
      <c r="BX19">
        <v>1099.3330000000001</v>
      </c>
      <c r="CB19">
        <v>226.33340000000001</v>
      </c>
      <c r="CC19">
        <v>1649.3330000000001</v>
      </c>
      <c r="CD19">
        <v>2212.3330000000001</v>
      </c>
      <c r="CF19">
        <v>958.33339999999998</v>
      </c>
      <c r="CH19">
        <v>379.33339999999998</v>
      </c>
      <c r="CO19">
        <v>324.33339999999998</v>
      </c>
      <c r="CP19">
        <v>214.33340000000001</v>
      </c>
      <c r="CQ19">
        <v>1893.3330000000001</v>
      </c>
      <c r="CR19">
        <v>1377.3330000000001</v>
      </c>
      <c r="CS19">
        <v>896.33339999999998</v>
      </c>
      <c r="CT19">
        <v>1514.3330000000001</v>
      </c>
      <c r="CU19">
        <v>2169.3330000000001</v>
      </c>
      <c r="CV19">
        <v>1029.3330000000001</v>
      </c>
      <c r="CW19">
        <v>850.33339999999998</v>
      </c>
      <c r="CY19">
        <v>43.333410000000001</v>
      </c>
      <c r="CZ19">
        <v>1130.3330000000001</v>
      </c>
      <c r="DB19">
        <v>1795.3330000000001</v>
      </c>
      <c r="DC19">
        <v>703.33339999999998</v>
      </c>
      <c r="DD19">
        <v>119.3334</v>
      </c>
      <c r="DE19">
        <v>23.333410000000001</v>
      </c>
      <c r="DF19">
        <v>344.33339999999998</v>
      </c>
      <c r="DG19">
        <v>3172.3330000000001</v>
      </c>
      <c r="DI19">
        <v>1536.3330000000001</v>
      </c>
      <c r="DK19">
        <v>3398.3330000000001</v>
      </c>
      <c r="DL19">
        <v>967.33339999999998</v>
      </c>
      <c r="DM19">
        <v>322.33339999999998</v>
      </c>
      <c r="DS19">
        <v>539.33339999999998</v>
      </c>
      <c r="EF19">
        <v>86.333410000000001</v>
      </c>
      <c r="EG19" s="3">
        <f t="shared" si="0"/>
        <v>0.42708333333333331</v>
      </c>
    </row>
    <row r="20" spans="1:137" x14ac:dyDescent="0.25">
      <c r="A20" s="1">
        <v>906</v>
      </c>
      <c r="B20">
        <v>548.92470000000003</v>
      </c>
      <c r="C20">
        <v>11.038</v>
      </c>
      <c r="D20">
        <v>176.09</v>
      </c>
      <c r="E20" s="9" t="s">
        <v>429</v>
      </c>
      <c r="F20" s="10">
        <v>2.0833333333333332E-2</v>
      </c>
      <c r="G20" t="s">
        <v>137</v>
      </c>
      <c r="H20" t="s">
        <v>138</v>
      </c>
      <c r="I20" t="s">
        <v>139</v>
      </c>
      <c r="J20">
        <v>23.803999999999998</v>
      </c>
      <c r="K20" t="s">
        <v>133</v>
      </c>
      <c r="L20" t="s">
        <v>166</v>
      </c>
      <c r="M20" t="s">
        <v>173</v>
      </c>
      <c r="N20" t="s">
        <v>174</v>
      </c>
      <c r="P20">
        <v>-1</v>
      </c>
      <c r="Q20">
        <v>2</v>
      </c>
      <c r="R20">
        <v>59</v>
      </c>
      <c r="S20">
        <v>100</v>
      </c>
      <c r="U20" t="b">
        <v>0</v>
      </c>
      <c r="V20" t="s">
        <v>175</v>
      </c>
      <c r="W20">
        <v>549</v>
      </c>
      <c r="X20">
        <v>-7.5299999999970196E-2</v>
      </c>
      <c r="Y20">
        <v>548.95976271879704</v>
      </c>
      <c r="Z20">
        <v>549</v>
      </c>
      <c r="AA20">
        <v>-4.0237281203417297E-2</v>
      </c>
      <c r="AB20">
        <v>34</v>
      </c>
      <c r="AC20">
        <v>14</v>
      </c>
      <c r="AD20">
        <v>3</v>
      </c>
      <c r="AE20" t="b">
        <v>1</v>
      </c>
      <c r="AF20" t="s">
        <v>142</v>
      </c>
      <c r="AG20" t="s">
        <v>143</v>
      </c>
      <c r="AH20" t="b">
        <v>1</v>
      </c>
      <c r="AI20" t="b">
        <v>1</v>
      </c>
      <c r="AJ20" t="b">
        <v>1</v>
      </c>
      <c r="AK20" t="b">
        <v>0</v>
      </c>
      <c r="AL20" t="s">
        <v>133</v>
      </c>
      <c r="AM20" t="s">
        <v>138</v>
      </c>
      <c r="AS20" t="s">
        <v>144</v>
      </c>
      <c r="AT20">
        <v>906</v>
      </c>
      <c r="BW20">
        <v>600.10019999999997</v>
      </c>
      <c r="DW20">
        <v>882.10019999999997</v>
      </c>
      <c r="EG20" s="3">
        <f t="shared" si="0"/>
        <v>2.0833333333333332E-2</v>
      </c>
    </row>
    <row r="21" spans="1:137" x14ac:dyDescent="0.25">
      <c r="A21" s="1">
        <v>4</v>
      </c>
      <c r="B21">
        <v>498.9307</v>
      </c>
      <c r="C21">
        <v>10.462999999999999</v>
      </c>
      <c r="D21">
        <v>168.82</v>
      </c>
      <c r="E21" s="9" t="s">
        <v>429</v>
      </c>
      <c r="F21" s="10">
        <v>0.47916666666666669</v>
      </c>
      <c r="G21" t="s">
        <v>137</v>
      </c>
      <c r="H21" t="s">
        <v>138</v>
      </c>
      <c r="I21" t="s">
        <v>139</v>
      </c>
      <c r="J21">
        <v>22.768000000000001</v>
      </c>
      <c r="K21" t="s">
        <v>133</v>
      </c>
      <c r="L21" t="s">
        <v>134</v>
      </c>
      <c r="M21" t="s">
        <v>135</v>
      </c>
      <c r="N21" t="s">
        <v>136</v>
      </c>
      <c r="P21">
        <v>-1</v>
      </c>
      <c r="Q21">
        <v>6</v>
      </c>
      <c r="R21">
        <v>107</v>
      </c>
      <c r="S21">
        <v>100</v>
      </c>
      <c r="T21" t="s">
        <v>140</v>
      </c>
      <c r="U21" t="b">
        <v>0</v>
      </c>
      <c r="V21" t="s">
        <v>141</v>
      </c>
      <c r="W21">
        <v>499</v>
      </c>
      <c r="X21">
        <v>-6.9299999999998405E-2</v>
      </c>
      <c r="Y21">
        <v>498.96256933805898</v>
      </c>
      <c r="Z21">
        <v>499</v>
      </c>
      <c r="AA21">
        <v>-3.74306619413005E-2</v>
      </c>
      <c r="AB21">
        <v>34</v>
      </c>
      <c r="AC21">
        <v>11</v>
      </c>
      <c r="AD21">
        <v>3</v>
      </c>
      <c r="AE21" t="b">
        <v>1</v>
      </c>
      <c r="AF21" t="s">
        <v>142</v>
      </c>
      <c r="AG21" t="s">
        <v>143</v>
      </c>
      <c r="AH21" t="b">
        <v>1</v>
      </c>
      <c r="AI21" t="b">
        <v>1</v>
      </c>
      <c r="AJ21" t="b">
        <v>1</v>
      </c>
      <c r="AK21" t="b">
        <v>0</v>
      </c>
      <c r="AL21" t="s">
        <v>133</v>
      </c>
      <c r="AM21" t="s">
        <v>138</v>
      </c>
      <c r="AS21" t="s">
        <v>144</v>
      </c>
      <c r="AT21">
        <v>4</v>
      </c>
      <c r="AV21">
        <v>121169.5</v>
      </c>
      <c r="AX21">
        <v>140493.5</v>
      </c>
      <c r="AY21">
        <v>16581.490000000002</v>
      </c>
      <c r="BA21">
        <v>185637.5</v>
      </c>
      <c r="BB21">
        <v>40768.49</v>
      </c>
      <c r="BD21">
        <v>90456.49</v>
      </c>
      <c r="BG21">
        <v>92701.49</v>
      </c>
      <c r="BJ21">
        <v>187942.5</v>
      </c>
      <c r="BK21">
        <v>60738.49</v>
      </c>
      <c r="BM21">
        <v>86909.49</v>
      </c>
      <c r="BP21">
        <v>9550.4860000000008</v>
      </c>
      <c r="BS21">
        <v>41353.49</v>
      </c>
      <c r="BV21">
        <v>42931.49</v>
      </c>
      <c r="BW21">
        <v>11239.49</v>
      </c>
      <c r="BX21">
        <v>103707.5</v>
      </c>
      <c r="CA21">
        <v>38524.49</v>
      </c>
      <c r="CB21">
        <v>4891.4859999999999</v>
      </c>
      <c r="CC21">
        <v>181169.5</v>
      </c>
      <c r="CD21">
        <v>181666.5</v>
      </c>
      <c r="CF21">
        <v>139926.5</v>
      </c>
      <c r="CH21">
        <v>44406.49</v>
      </c>
      <c r="CO21">
        <v>4617.4859999999999</v>
      </c>
      <c r="CP21">
        <v>18076.490000000002</v>
      </c>
      <c r="CQ21">
        <v>146760.5</v>
      </c>
      <c r="CR21">
        <v>128965.5</v>
      </c>
      <c r="CS21">
        <v>117791.5</v>
      </c>
      <c r="CT21">
        <v>158105.5</v>
      </c>
      <c r="CU21">
        <v>157585.5</v>
      </c>
      <c r="CV21">
        <v>83686.490000000005</v>
      </c>
      <c r="CW21">
        <v>81590.490000000005</v>
      </c>
      <c r="CZ21">
        <v>135282.5</v>
      </c>
      <c r="DB21">
        <v>143162.5</v>
      </c>
      <c r="DC21">
        <v>99358.49</v>
      </c>
      <c r="DF21">
        <v>40629.49</v>
      </c>
      <c r="DG21">
        <v>184798.5</v>
      </c>
      <c r="DI21">
        <v>127094.5</v>
      </c>
      <c r="DK21">
        <v>196321.5</v>
      </c>
      <c r="DL21">
        <v>65373.49</v>
      </c>
      <c r="DM21">
        <v>42432.49</v>
      </c>
      <c r="DP21">
        <v>25818.49</v>
      </c>
      <c r="DS21">
        <v>61565.49</v>
      </c>
      <c r="DT21">
        <v>86090.49</v>
      </c>
      <c r="DW21">
        <v>5954.4859999999999</v>
      </c>
      <c r="DZ21">
        <v>170810.5</v>
      </c>
      <c r="EC21">
        <v>145799.5</v>
      </c>
      <c r="EE21">
        <v>99172.49</v>
      </c>
      <c r="EG21" s="3">
        <f t="shared" si="0"/>
        <v>0.47916666666666669</v>
      </c>
    </row>
    <row r="22" spans="1:137" s="11" customFormat="1" x14ac:dyDescent="0.25">
      <c r="A22" s="13">
        <v>5002</v>
      </c>
      <c r="B22" s="11">
        <v>498.92540000000002</v>
      </c>
      <c r="C22" s="11">
        <v>10.878</v>
      </c>
      <c r="D22" s="11">
        <v>168.77</v>
      </c>
      <c r="E22" s="11" t="s">
        <v>432</v>
      </c>
      <c r="F22" s="12">
        <v>2.0833333333333332E-2</v>
      </c>
      <c r="G22" s="11" t="s">
        <v>137</v>
      </c>
      <c r="H22" s="11" t="s">
        <v>185</v>
      </c>
      <c r="I22" s="11" t="s">
        <v>139</v>
      </c>
      <c r="J22" s="11">
        <v>22.751999999999999</v>
      </c>
      <c r="K22" s="11" t="s">
        <v>180</v>
      </c>
      <c r="L22" s="11" t="s">
        <v>181</v>
      </c>
      <c r="M22" s="11" t="s">
        <v>135</v>
      </c>
      <c r="N22" s="11" t="s">
        <v>136</v>
      </c>
      <c r="P22" s="11">
        <v>-1</v>
      </c>
      <c r="Q22" s="11">
        <v>1</v>
      </c>
      <c r="R22" s="11">
        <v>19</v>
      </c>
      <c r="S22" s="11">
        <v>82.3</v>
      </c>
      <c r="U22" s="11" t="b">
        <v>0</v>
      </c>
      <c r="V22" s="11" t="s">
        <v>141</v>
      </c>
      <c r="W22" s="11">
        <v>499</v>
      </c>
      <c r="X22" s="11">
        <v>-7.4599999999975394E-2</v>
      </c>
      <c r="Y22" s="11">
        <v>498.95726899952001</v>
      </c>
      <c r="Z22" s="11">
        <v>499</v>
      </c>
      <c r="AA22" s="11">
        <v>-4.2731000480216601E-2</v>
      </c>
      <c r="AB22" s="11">
        <v>35</v>
      </c>
      <c r="AC22" s="11">
        <v>0</v>
      </c>
      <c r="AD22" s="11">
        <v>0</v>
      </c>
      <c r="AE22" s="11" t="b">
        <v>1</v>
      </c>
      <c r="AH22" s="11" t="b">
        <v>1</v>
      </c>
      <c r="AI22" s="11" t="b">
        <v>0</v>
      </c>
      <c r="AJ22" s="11" t="b">
        <v>0</v>
      </c>
      <c r="AK22" s="11" t="b">
        <v>0</v>
      </c>
      <c r="AL22" s="11" t="s">
        <v>180</v>
      </c>
      <c r="AM22" s="11" t="s">
        <v>185</v>
      </c>
      <c r="AS22" s="11" t="s">
        <v>144</v>
      </c>
      <c r="AT22" s="11">
        <v>5002</v>
      </c>
      <c r="BQ22" s="11">
        <v>107.999</v>
      </c>
      <c r="DD22" s="11">
        <v>79.998999999999995</v>
      </c>
      <c r="EG22" s="12">
        <f t="shared" si="0"/>
        <v>2.0833333333333332E-2</v>
      </c>
    </row>
    <row r="23" spans="1:137" x14ac:dyDescent="0.25">
      <c r="A23" s="1">
        <v>1146</v>
      </c>
      <c r="B23">
        <v>712.94619999999998</v>
      </c>
      <c r="C23">
        <v>13.398999999999999</v>
      </c>
      <c r="D23">
        <v>209.85</v>
      </c>
      <c r="E23" s="9" t="s">
        <v>429</v>
      </c>
      <c r="F23" s="10">
        <v>0.41666666666666669</v>
      </c>
      <c r="G23" t="s">
        <v>137</v>
      </c>
      <c r="H23" t="s">
        <v>138</v>
      </c>
      <c r="I23" t="s">
        <v>139</v>
      </c>
      <c r="J23">
        <v>28.527999999999999</v>
      </c>
      <c r="K23" t="s">
        <v>133</v>
      </c>
      <c r="L23" t="s">
        <v>134</v>
      </c>
      <c r="M23" t="s">
        <v>201</v>
      </c>
      <c r="N23" t="s">
        <v>202</v>
      </c>
      <c r="O23" t="s">
        <v>203</v>
      </c>
      <c r="P23">
        <v>-1</v>
      </c>
      <c r="Q23">
        <v>4</v>
      </c>
      <c r="R23">
        <v>48</v>
      </c>
      <c r="S23">
        <v>100</v>
      </c>
      <c r="U23" t="b">
        <v>0</v>
      </c>
      <c r="V23" t="s">
        <v>204</v>
      </c>
      <c r="W23">
        <v>713</v>
      </c>
      <c r="X23">
        <v>-5.3800000000023801E-2</v>
      </c>
      <c r="Y23">
        <v>712.99173963800104</v>
      </c>
      <c r="Z23">
        <v>713</v>
      </c>
      <c r="AA23">
        <v>-8.2603619991914005E-3</v>
      </c>
      <c r="AB23">
        <v>38</v>
      </c>
      <c r="AC23">
        <v>11</v>
      </c>
      <c r="AD23">
        <v>4</v>
      </c>
      <c r="AE23" t="b">
        <v>1</v>
      </c>
      <c r="AF23" t="s">
        <v>142</v>
      </c>
      <c r="AG23" t="s">
        <v>143</v>
      </c>
      <c r="AH23" t="b">
        <v>1</v>
      </c>
      <c r="AI23" t="b">
        <v>1</v>
      </c>
      <c r="AJ23" t="b">
        <v>1</v>
      </c>
      <c r="AK23" t="b">
        <v>0</v>
      </c>
      <c r="AL23" t="s">
        <v>133</v>
      </c>
      <c r="AM23" t="s">
        <v>138</v>
      </c>
      <c r="AS23" t="s">
        <v>144</v>
      </c>
      <c r="AT23">
        <v>1146</v>
      </c>
      <c r="AX23">
        <v>273.71019999999999</v>
      </c>
      <c r="BA23">
        <v>149.71019999999999</v>
      </c>
      <c r="BB23">
        <v>929.71019999999999</v>
      </c>
      <c r="BD23">
        <v>261.71019999999999</v>
      </c>
      <c r="BG23">
        <v>314.71019999999999</v>
      </c>
      <c r="BJ23">
        <v>303.71019999999999</v>
      </c>
      <c r="BM23">
        <v>477.71019999999999</v>
      </c>
      <c r="BN23">
        <v>72.710250000000002</v>
      </c>
      <c r="BS23">
        <v>138.71019999999999</v>
      </c>
      <c r="BW23">
        <v>137.71019999999999</v>
      </c>
      <c r="BX23">
        <v>49.710250000000002</v>
      </c>
      <c r="CB23">
        <v>202.71019999999999</v>
      </c>
      <c r="CC23">
        <v>315.71019999999999</v>
      </c>
      <c r="CD23">
        <v>838.71019999999999</v>
      </c>
      <c r="CF23">
        <v>197.71019999999999</v>
      </c>
      <c r="CG23">
        <v>140.71019999999999</v>
      </c>
      <c r="CH23">
        <v>160.71019999999999</v>
      </c>
      <c r="CP23">
        <v>5.7102469999999999</v>
      </c>
      <c r="CQ23">
        <v>806.71019999999999</v>
      </c>
      <c r="CR23">
        <v>222.71019999999999</v>
      </c>
      <c r="CS23">
        <v>364.71019999999999</v>
      </c>
      <c r="CT23">
        <v>610.71019999999999</v>
      </c>
      <c r="CU23">
        <v>1790.71</v>
      </c>
      <c r="CV23">
        <v>224.71019999999999</v>
      </c>
      <c r="CW23">
        <v>73.710250000000002</v>
      </c>
      <c r="CX23">
        <v>44.710250000000002</v>
      </c>
      <c r="CY23">
        <v>72.710250000000002</v>
      </c>
      <c r="CZ23">
        <v>94.710250000000002</v>
      </c>
      <c r="DB23">
        <v>240.71019999999999</v>
      </c>
      <c r="DC23">
        <v>164.71019999999999</v>
      </c>
      <c r="DD23">
        <v>230.71019999999999</v>
      </c>
      <c r="DF23">
        <v>96.710250000000002</v>
      </c>
      <c r="DG23">
        <v>95.710250000000002</v>
      </c>
      <c r="DH23">
        <v>115.7102466</v>
      </c>
      <c r="DI23">
        <v>223.71019999999999</v>
      </c>
      <c r="DK23">
        <v>147.71019999999999</v>
      </c>
      <c r="DL23">
        <v>552.71019999999999</v>
      </c>
      <c r="DO23">
        <v>92.710250000000002</v>
      </c>
      <c r="EC23">
        <v>239.71019999999999</v>
      </c>
      <c r="EF23">
        <v>84.710250000000002</v>
      </c>
      <c r="EG23" s="3">
        <f t="shared" si="0"/>
        <v>0.41666666666666669</v>
      </c>
    </row>
    <row r="24" spans="1:137" x14ac:dyDescent="0.25">
      <c r="A24" s="1">
        <v>6339</v>
      </c>
      <c r="B24">
        <v>712.9425</v>
      </c>
      <c r="C24">
        <v>13.397</v>
      </c>
      <c r="D24">
        <v>210.01</v>
      </c>
      <c r="E24" s="9" t="s">
        <v>429</v>
      </c>
      <c r="F24" s="10">
        <v>5.2083333333333336E-2</v>
      </c>
      <c r="G24" t="s">
        <v>137</v>
      </c>
      <c r="H24" t="s">
        <v>185</v>
      </c>
      <c r="I24" t="s">
        <v>139</v>
      </c>
      <c r="J24">
        <v>28.552</v>
      </c>
      <c r="K24" t="s">
        <v>180</v>
      </c>
      <c r="L24" t="s">
        <v>181</v>
      </c>
      <c r="M24" t="s">
        <v>201</v>
      </c>
      <c r="N24" t="s">
        <v>202</v>
      </c>
      <c r="O24" t="s">
        <v>203</v>
      </c>
      <c r="P24">
        <v>-1</v>
      </c>
      <c r="Q24">
        <v>1</v>
      </c>
      <c r="R24">
        <v>15</v>
      </c>
      <c r="S24">
        <v>97.1</v>
      </c>
      <c r="U24" t="b">
        <v>0</v>
      </c>
      <c r="V24" t="s">
        <v>204</v>
      </c>
      <c r="W24">
        <v>713</v>
      </c>
      <c r="X24">
        <v>-5.7500000000004499E-2</v>
      </c>
      <c r="Y24">
        <v>712.98803940166204</v>
      </c>
      <c r="Z24">
        <v>713</v>
      </c>
      <c r="AA24">
        <v>-1.19605983377369E-2</v>
      </c>
      <c r="AB24">
        <v>36</v>
      </c>
      <c r="AC24">
        <v>0</v>
      </c>
      <c r="AD24">
        <v>0</v>
      </c>
      <c r="AE24" t="b">
        <v>1</v>
      </c>
      <c r="AH24" t="b">
        <v>1</v>
      </c>
      <c r="AI24" t="b">
        <v>0</v>
      </c>
      <c r="AJ24" t="b">
        <v>0</v>
      </c>
      <c r="AK24" t="b">
        <v>0</v>
      </c>
      <c r="AL24" t="s">
        <v>180</v>
      </c>
      <c r="AM24" t="s">
        <v>185</v>
      </c>
      <c r="AS24" t="s">
        <v>144</v>
      </c>
      <c r="AT24">
        <v>6339</v>
      </c>
      <c r="AV24">
        <v>2.0051510000000001</v>
      </c>
      <c r="BL24">
        <v>50.005150800000003</v>
      </c>
      <c r="BR24">
        <v>15.00515</v>
      </c>
      <c r="DJ24">
        <v>41.00515</v>
      </c>
      <c r="DS24">
        <v>21.00515</v>
      </c>
      <c r="EG24" s="3">
        <f t="shared" si="0"/>
        <v>5.2083333333333336E-2</v>
      </c>
    </row>
    <row r="25" spans="1:137" x14ac:dyDescent="0.25">
      <c r="A25" s="1">
        <v>1233</v>
      </c>
      <c r="B25">
        <v>668.95590000000004</v>
      </c>
      <c r="C25">
        <v>13.398</v>
      </c>
      <c r="D25">
        <v>188.53</v>
      </c>
      <c r="E25" s="9" t="s">
        <v>429</v>
      </c>
      <c r="F25" s="10">
        <v>0.5</v>
      </c>
      <c r="G25" t="s">
        <v>137</v>
      </c>
      <c r="H25" t="s">
        <v>138</v>
      </c>
      <c r="I25" t="s">
        <v>139</v>
      </c>
      <c r="J25">
        <v>25.6</v>
      </c>
      <c r="K25" t="s">
        <v>133</v>
      </c>
      <c r="L25" t="s">
        <v>205</v>
      </c>
      <c r="M25" t="s">
        <v>206</v>
      </c>
      <c r="N25" t="s">
        <v>202</v>
      </c>
      <c r="O25" t="s">
        <v>203</v>
      </c>
      <c r="P25">
        <v>-1</v>
      </c>
      <c r="Q25">
        <v>1</v>
      </c>
      <c r="R25">
        <v>57</v>
      </c>
      <c r="S25">
        <v>99.1</v>
      </c>
      <c r="U25" t="b">
        <v>0</v>
      </c>
      <c r="V25" t="s">
        <v>207</v>
      </c>
      <c r="W25">
        <v>669</v>
      </c>
      <c r="X25">
        <v>-4.4099999999957597E-2</v>
      </c>
      <c r="Y25">
        <v>668.99862974528003</v>
      </c>
      <c r="Z25">
        <v>669</v>
      </c>
      <c r="AA25">
        <v>-1.3702547197453E-3</v>
      </c>
      <c r="AB25">
        <v>38</v>
      </c>
      <c r="AC25">
        <v>12</v>
      </c>
      <c r="AD25">
        <v>4</v>
      </c>
      <c r="AE25" t="b">
        <v>1</v>
      </c>
      <c r="AF25" t="s">
        <v>142</v>
      </c>
      <c r="AG25" t="s">
        <v>143</v>
      </c>
      <c r="AH25" t="b">
        <v>1</v>
      </c>
      <c r="AI25" t="b">
        <v>1</v>
      </c>
      <c r="AJ25" t="b">
        <v>1</v>
      </c>
      <c r="AK25" t="b">
        <v>0</v>
      </c>
      <c r="AL25" t="s">
        <v>133</v>
      </c>
      <c r="AM25" t="s">
        <v>138</v>
      </c>
      <c r="AS25" t="s">
        <v>144</v>
      </c>
      <c r="AT25">
        <v>1233</v>
      </c>
      <c r="AX25">
        <v>364.99900000000002</v>
      </c>
      <c r="BA25">
        <v>197.999</v>
      </c>
      <c r="BB25">
        <v>556.99900000000002</v>
      </c>
      <c r="BD25">
        <v>365.99900000000002</v>
      </c>
      <c r="BF25">
        <v>99.998999999999995</v>
      </c>
      <c r="BJ25">
        <v>363.99900000000002</v>
      </c>
      <c r="BK25">
        <v>199.999</v>
      </c>
      <c r="BN25">
        <v>188.999</v>
      </c>
      <c r="BO25">
        <v>92.998999999999995</v>
      </c>
      <c r="BS25">
        <v>254.999</v>
      </c>
      <c r="BU25">
        <v>111.999</v>
      </c>
      <c r="BW25">
        <v>278.99900000000002</v>
      </c>
      <c r="BX25">
        <v>182.999</v>
      </c>
      <c r="BZ25">
        <v>130.999</v>
      </c>
      <c r="CB25">
        <v>389.99900000000002</v>
      </c>
      <c r="CC25">
        <v>404.99900000000002</v>
      </c>
      <c r="CD25">
        <v>514.99900000000002</v>
      </c>
      <c r="CE25">
        <v>95.998999999999995</v>
      </c>
      <c r="CF25">
        <v>375.99900000000002</v>
      </c>
      <c r="CH25">
        <v>301.99900000000002</v>
      </c>
      <c r="CJ25">
        <v>142.999</v>
      </c>
      <c r="CN25">
        <v>121.999</v>
      </c>
      <c r="CO25">
        <v>182.999</v>
      </c>
      <c r="CP25">
        <v>202.999</v>
      </c>
      <c r="CQ25">
        <v>624.99900000000002</v>
      </c>
      <c r="CR25">
        <v>355.99900000000002</v>
      </c>
      <c r="CS25">
        <v>486.99900000000002</v>
      </c>
      <c r="CT25">
        <v>665.99900000000002</v>
      </c>
      <c r="CW25">
        <v>195.999</v>
      </c>
      <c r="CX25">
        <v>177.999</v>
      </c>
      <c r="CY25">
        <v>210.999</v>
      </c>
      <c r="CZ25">
        <v>182.999</v>
      </c>
      <c r="DA25">
        <v>177.999</v>
      </c>
      <c r="DB25">
        <v>378.99900000000002</v>
      </c>
      <c r="DC25">
        <v>273.99900000000002</v>
      </c>
      <c r="DD25">
        <v>322.99900000000002</v>
      </c>
      <c r="DF25">
        <v>258.99900000000002</v>
      </c>
      <c r="DG25">
        <v>193.999</v>
      </c>
      <c r="DI25">
        <v>376.99900000000002</v>
      </c>
      <c r="DJ25">
        <v>175.999</v>
      </c>
      <c r="DK25">
        <v>306.99900000000002</v>
      </c>
      <c r="DL25">
        <v>550.99900000000002</v>
      </c>
      <c r="DO25">
        <v>266.99900000000002</v>
      </c>
      <c r="DQ25">
        <v>97.998999999999995</v>
      </c>
      <c r="DV25">
        <v>147.999</v>
      </c>
      <c r="DW25">
        <v>113.999</v>
      </c>
      <c r="ED25">
        <v>98.998999999999995</v>
      </c>
      <c r="EF25">
        <v>255.999</v>
      </c>
      <c r="EG25" s="3">
        <f t="shared" si="0"/>
        <v>0.5</v>
      </c>
    </row>
    <row r="26" spans="1:137" x14ac:dyDescent="0.25">
      <c r="A26" s="1">
        <v>1025</v>
      </c>
      <c r="B26">
        <v>662.94979999999998</v>
      </c>
      <c r="C26">
        <v>12.965</v>
      </c>
      <c r="D26">
        <v>201.1</v>
      </c>
      <c r="E26" s="9" t="s">
        <v>429</v>
      </c>
      <c r="F26" s="10">
        <v>2.0833333333333332E-2</v>
      </c>
      <c r="G26" t="s">
        <v>137</v>
      </c>
      <c r="H26" t="s">
        <v>138</v>
      </c>
      <c r="I26" t="s">
        <v>139</v>
      </c>
      <c r="J26">
        <v>27.300999999999998</v>
      </c>
      <c r="K26" t="s">
        <v>133</v>
      </c>
      <c r="L26" t="s">
        <v>193</v>
      </c>
      <c r="M26" t="s">
        <v>194</v>
      </c>
      <c r="N26" t="s">
        <v>195</v>
      </c>
      <c r="O26" t="s">
        <v>196</v>
      </c>
      <c r="P26">
        <v>-1</v>
      </c>
      <c r="Q26">
        <v>2</v>
      </c>
      <c r="R26">
        <v>75</v>
      </c>
      <c r="S26">
        <v>100</v>
      </c>
      <c r="U26" t="b">
        <v>0</v>
      </c>
      <c r="V26" t="s">
        <v>197</v>
      </c>
      <c r="W26">
        <v>663</v>
      </c>
      <c r="X26">
        <v>-5.0200000000018001E-2</v>
      </c>
      <c r="Y26">
        <v>662.992146103962</v>
      </c>
      <c r="Z26">
        <v>663</v>
      </c>
      <c r="AA26">
        <v>-7.8538960377727007E-3</v>
      </c>
      <c r="AB26">
        <v>36</v>
      </c>
      <c r="AC26">
        <v>19</v>
      </c>
      <c r="AD26">
        <v>3</v>
      </c>
      <c r="AE26" t="b">
        <v>1</v>
      </c>
      <c r="AF26" t="s">
        <v>142</v>
      </c>
      <c r="AG26" t="s">
        <v>143</v>
      </c>
      <c r="AH26" t="b">
        <v>1</v>
      </c>
      <c r="AI26" t="b">
        <v>1</v>
      </c>
      <c r="AJ26" t="b">
        <v>1</v>
      </c>
      <c r="AK26" t="b">
        <v>0</v>
      </c>
      <c r="AL26" t="s">
        <v>133</v>
      </c>
      <c r="AM26" t="s">
        <v>138</v>
      </c>
      <c r="AS26" t="s">
        <v>144</v>
      </c>
      <c r="AT26">
        <v>1025</v>
      </c>
      <c r="BG26">
        <v>206.2268</v>
      </c>
      <c r="CU26">
        <v>549.22680000000003</v>
      </c>
      <c r="EG26" s="3">
        <f t="shared" si="0"/>
        <v>2.0833333333333332E-2</v>
      </c>
    </row>
    <row r="27" spans="1:137" x14ac:dyDescent="0.25">
      <c r="A27" s="1">
        <v>1113</v>
      </c>
      <c r="B27">
        <v>618.95809999999994</v>
      </c>
      <c r="C27">
        <v>12.965</v>
      </c>
      <c r="D27">
        <v>180.48</v>
      </c>
      <c r="E27" s="9" t="s">
        <v>429</v>
      </c>
      <c r="F27" s="10">
        <v>2.0833333333333332E-2</v>
      </c>
      <c r="G27" t="s">
        <v>137</v>
      </c>
      <c r="H27" t="s">
        <v>138</v>
      </c>
      <c r="I27" t="s">
        <v>139</v>
      </c>
      <c r="J27">
        <v>24.465</v>
      </c>
      <c r="K27" t="s">
        <v>133</v>
      </c>
      <c r="L27" t="s">
        <v>198</v>
      </c>
      <c r="M27" t="s">
        <v>199</v>
      </c>
      <c r="N27" t="s">
        <v>195</v>
      </c>
      <c r="O27" t="s">
        <v>196</v>
      </c>
      <c r="P27">
        <v>-1</v>
      </c>
      <c r="Q27">
        <v>2</v>
      </c>
      <c r="R27">
        <v>71</v>
      </c>
      <c r="S27">
        <v>99.8</v>
      </c>
      <c r="U27" t="b">
        <v>0</v>
      </c>
      <c r="V27" t="s">
        <v>200</v>
      </c>
      <c r="W27">
        <v>619</v>
      </c>
      <c r="X27">
        <v>-4.1900000000055102E-2</v>
      </c>
      <c r="Y27">
        <v>618.99763612181596</v>
      </c>
      <c r="Z27">
        <v>619</v>
      </c>
      <c r="AA27">
        <v>-2.3638781838144001E-3</v>
      </c>
      <c r="AB27">
        <v>37</v>
      </c>
      <c r="AC27">
        <v>20</v>
      </c>
      <c r="AD27">
        <v>8</v>
      </c>
      <c r="AE27" t="b">
        <v>1</v>
      </c>
      <c r="AF27" t="s">
        <v>142</v>
      </c>
      <c r="AG27" t="s">
        <v>143</v>
      </c>
      <c r="AH27" t="b">
        <v>1</v>
      </c>
      <c r="AI27" t="b">
        <v>1</v>
      </c>
      <c r="AJ27" t="b">
        <v>1</v>
      </c>
      <c r="AK27" t="b">
        <v>0</v>
      </c>
      <c r="AL27" t="s">
        <v>133</v>
      </c>
      <c r="AM27" t="s">
        <v>138</v>
      </c>
      <c r="AS27" t="s">
        <v>144</v>
      </c>
      <c r="AT27">
        <v>1113</v>
      </c>
      <c r="BG27">
        <v>284.60289999999998</v>
      </c>
      <c r="CU27">
        <v>574.60289999999998</v>
      </c>
      <c r="EG27" s="3">
        <f t="shared" si="0"/>
        <v>2.0833333333333332E-2</v>
      </c>
    </row>
    <row r="28" spans="1:137" s="11" customFormat="1" x14ac:dyDescent="0.25">
      <c r="A28" s="13">
        <v>595</v>
      </c>
      <c r="B28" s="11">
        <v>562.95389999999998</v>
      </c>
      <c r="C28" s="11">
        <v>11.887</v>
      </c>
      <c r="D28" s="11">
        <v>183.18</v>
      </c>
      <c r="E28" s="11" t="s">
        <v>433</v>
      </c>
      <c r="F28" s="12">
        <v>1.0416666666666666E-2</v>
      </c>
      <c r="G28" s="11" t="s">
        <v>137</v>
      </c>
      <c r="H28" s="11" t="s">
        <v>138</v>
      </c>
      <c r="I28" s="11" t="s">
        <v>139</v>
      </c>
      <c r="J28" s="11">
        <v>24.779</v>
      </c>
      <c r="K28" s="11" t="s">
        <v>133</v>
      </c>
      <c r="L28" s="11" t="s">
        <v>189</v>
      </c>
      <c r="M28" s="11" t="s">
        <v>190</v>
      </c>
      <c r="N28" s="11" t="s">
        <v>177</v>
      </c>
      <c r="O28" s="11" t="s">
        <v>178</v>
      </c>
      <c r="P28" s="11">
        <v>-1</v>
      </c>
      <c r="Q28" s="11">
        <v>2</v>
      </c>
      <c r="R28" s="11">
        <v>92</v>
      </c>
      <c r="S28" s="11">
        <v>100</v>
      </c>
      <c r="U28" s="11" t="b">
        <v>0</v>
      </c>
      <c r="V28" s="11" t="s">
        <v>191</v>
      </c>
      <c r="W28" s="11">
        <v>563</v>
      </c>
      <c r="X28" s="11">
        <v>-4.6100000000023997E-2</v>
      </c>
      <c r="Y28" s="11">
        <v>562.98985883787202</v>
      </c>
      <c r="Z28" s="11">
        <v>563</v>
      </c>
      <c r="AA28" s="11">
        <v>-1.01411621282068E-2</v>
      </c>
      <c r="AB28" s="11">
        <v>30</v>
      </c>
      <c r="AC28" s="11">
        <v>8</v>
      </c>
      <c r="AD28" s="11">
        <v>4</v>
      </c>
      <c r="AE28" s="11" t="b">
        <v>1</v>
      </c>
      <c r="AF28" s="11" t="s">
        <v>142</v>
      </c>
      <c r="AG28" s="11" t="s">
        <v>143</v>
      </c>
      <c r="AH28" s="11" t="b">
        <v>1</v>
      </c>
      <c r="AI28" s="11" t="b">
        <v>1</v>
      </c>
      <c r="AJ28" s="11" t="b">
        <v>1</v>
      </c>
      <c r="AK28" s="11" t="b">
        <v>0</v>
      </c>
      <c r="AL28" s="11" t="s">
        <v>133</v>
      </c>
      <c r="AM28" s="11" t="s">
        <v>138</v>
      </c>
      <c r="AS28" s="11" t="s">
        <v>144</v>
      </c>
      <c r="AT28" s="11">
        <v>595</v>
      </c>
      <c r="BJ28" s="11">
        <v>29.217960000000001</v>
      </c>
      <c r="EG28" s="12">
        <f t="shared" si="0"/>
        <v>1.0416666666666666E-2</v>
      </c>
    </row>
    <row r="29" spans="1:137" s="11" customFormat="1" x14ac:dyDescent="0.25">
      <c r="A29" s="13">
        <v>2130</v>
      </c>
      <c r="B29" s="11">
        <v>562.95360000000005</v>
      </c>
      <c r="C29" s="11">
        <v>11.711</v>
      </c>
      <c r="D29" s="11">
        <v>181.61</v>
      </c>
      <c r="E29" s="11" t="s">
        <v>434</v>
      </c>
      <c r="F29" s="12">
        <v>0.32291666666666669</v>
      </c>
      <c r="G29" s="11" t="s">
        <v>137</v>
      </c>
      <c r="H29" s="11" t="s">
        <v>185</v>
      </c>
      <c r="I29" s="11" t="s">
        <v>139</v>
      </c>
      <c r="J29" s="11">
        <v>24.565000000000001</v>
      </c>
      <c r="K29" s="11" t="s">
        <v>180</v>
      </c>
      <c r="L29" s="11" t="s">
        <v>181</v>
      </c>
      <c r="M29" s="11" t="s">
        <v>190</v>
      </c>
      <c r="N29" s="11" t="s">
        <v>177</v>
      </c>
      <c r="O29" s="11" t="s">
        <v>178</v>
      </c>
      <c r="P29" s="11">
        <v>-1</v>
      </c>
      <c r="Q29" s="11">
        <v>1</v>
      </c>
      <c r="R29" s="11">
        <v>34</v>
      </c>
      <c r="S29" s="11">
        <v>99</v>
      </c>
      <c r="U29" s="11" t="b">
        <v>0</v>
      </c>
      <c r="V29" s="11" t="s">
        <v>191</v>
      </c>
      <c r="W29" s="11">
        <v>563</v>
      </c>
      <c r="X29" s="11">
        <v>-4.6399999999948698E-2</v>
      </c>
      <c r="Y29" s="11">
        <v>562.98955881870904</v>
      </c>
      <c r="Z29" s="11">
        <v>563</v>
      </c>
      <c r="AA29" s="11">
        <v>-1.04411812907301E-2</v>
      </c>
      <c r="AB29" s="11">
        <v>37</v>
      </c>
      <c r="AC29" s="11">
        <v>0</v>
      </c>
      <c r="AD29" s="11">
        <v>0</v>
      </c>
      <c r="AE29" s="11" t="b">
        <v>1</v>
      </c>
      <c r="AH29" s="11" t="b">
        <v>1</v>
      </c>
      <c r="AI29" s="11" t="b">
        <v>0</v>
      </c>
      <c r="AJ29" s="11" t="b">
        <v>0</v>
      </c>
      <c r="AK29" s="11" t="b">
        <v>0</v>
      </c>
      <c r="AL29" s="11" t="s">
        <v>180</v>
      </c>
      <c r="AM29" s="11" t="s">
        <v>185</v>
      </c>
      <c r="AS29" s="11" t="s">
        <v>144</v>
      </c>
      <c r="AT29" s="11">
        <v>2130</v>
      </c>
      <c r="AX29" s="11">
        <v>118.70959999999999</v>
      </c>
      <c r="BA29" s="11">
        <v>325.70960000000002</v>
      </c>
      <c r="BD29" s="11">
        <v>81.709590000000006</v>
      </c>
      <c r="BK29" s="11">
        <v>98.709590000000006</v>
      </c>
      <c r="BL29" s="11">
        <v>28.7095868</v>
      </c>
      <c r="BS29" s="11">
        <v>157.70959999999999</v>
      </c>
      <c r="BV29" s="11">
        <v>89.709590000000006</v>
      </c>
      <c r="BX29" s="11">
        <v>301.70960000000002</v>
      </c>
      <c r="CB29" s="11">
        <v>43.709589999999999</v>
      </c>
      <c r="CC29" s="11">
        <v>218.70959999999999</v>
      </c>
      <c r="CD29" s="11">
        <v>248.70959999999999</v>
      </c>
      <c r="CF29" s="11">
        <v>71.709590000000006</v>
      </c>
      <c r="CH29" s="11">
        <v>51.709589999999999</v>
      </c>
      <c r="CO29" s="11">
        <v>20.709589999999999</v>
      </c>
      <c r="CQ29" s="11">
        <v>221.70959999999999</v>
      </c>
      <c r="CR29" s="11">
        <v>202.70959999999999</v>
      </c>
      <c r="CS29" s="11">
        <v>176.70959999999999</v>
      </c>
      <c r="CT29" s="11">
        <v>314.70960000000002</v>
      </c>
      <c r="CU29" s="11">
        <v>429.70960000000002</v>
      </c>
      <c r="CV29" s="11">
        <v>205.70959999999999</v>
      </c>
      <c r="CZ29" s="11">
        <v>145.70959999999999</v>
      </c>
      <c r="DB29" s="11">
        <v>346.70960000000002</v>
      </c>
      <c r="DC29" s="11">
        <v>87.709590000000006</v>
      </c>
      <c r="DF29" s="11">
        <v>78.709590000000006</v>
      </c>
      <c r="DG29" s="11">
        <v>230.70959999999999</v>
      </c>
      <c r="DI29" s="11">
        <v>391.70960000000002</v>
      </c>
      <c r="DK29" s="11">
        <v>658.70960000000002</v>
      </c>
      <c r="DL29" s="11">
        <v>104.70959999999999</v>
      </c>
      <c r="DM29" s="11">
        <v>143.70959999999999</v>
      </c>
      <c r="DS29" s="11">
        <v>105.70959999999999</v>
      </c>
      <c r="DV29" s="11">
        <v>76.709586799999997</v>
      </c>
      <c r="EG29" s="12">
        <f t="shared" si="0"/>
        <v>0.32291666666666669</v>
      </c>
    </row>
    <row r="30" spans="1:137" s="11" customFormat="1" x14ac:dyDescent="0.25">
      <c r="A30" s="13">
        <v>377</v>
      </c>
      <c r="B30" s="11">
        <v>518.96569999999997</v>
      </c>
      <c r="C30" s="11">
        <v>11.885999999999999</v>
      </c>
      <c r="D30" s="11">
        <v>164.09</v>
      </c>
      <c r="E30" s="11" t="s">
        <v>433</v>
      </c>
      <c r="F30" s="12">
        <v>1.0416666666666666E-2</v>
      </c>
      <c r="G30" s="11" t="s">
        <v>137</v>
      </c>
      <c r="H30" s="11" t="s">
        <v>138</v>
      </c>
      <c r="I30" s="11" t="s">
        <v>139</v>
      </c>
      <c r="J30" s="11">
        <v>22.152999999999999</v>
      </c>
      <c r="K30" s="11" t="s">
        <v>133</v>
      </c>
      <c r="L30" s="11" t="s">
        <v>166</v>
      </c>
      <c r="M30" s="11" t="s">
        <v>176</v>
      </c>
      <c r="N30" s="11" t="s">
        <v>177</v>
      </c>
      <c r="O30" s="11" t="s">
        <v>178</v>
      </c>
      <c r="P30" s="11">
        <v>-1</v>
      </c>
      <c r="Q30" s="11">
        <v>2</v>
      </c>
      <c r="R30" s="11">
        <v>73</v>
      </c>
      <c r="S30" s="11">
        <v>100</v>
      </c>
      <c r="U30" s="11" t="b">
        <v>0</v>
      </c>
      <c r="V30" s="11" t="s">
        <v>179</v>
      </c>
      <c r="W30" s="11">
        <v>519</v>
      </c>
      <c r="X30" s="11">
        <v>-3.4300000000030202E-2</v>
      </c>
      <c r="Y30" s="11">
        <v>518.99884907928902</v>
      </c>
      <c r="Z30" s="11">
        <v>519</v>
      </c>
      <c r="AA30" s="11">
        <v>-1.1509207107565E-3</v>
      </c>
      <c r="AB30" s="11">
        <v>34</v>
      </c>
      <c r="AC30" s="11">
        <v>14</v>
      </c>
      <c r="AD30" s="11">
        <v>6</v>
      </c>
      <c r="AE30" s="11" t="b">
        <v>1</v>
      </c>
      <c r="AF30" s="11" t="s">
        <v>142</v>
      </c>
      <c r="AG30" s="11" t="s">
        <v>165</v>
      </c>
      <c r="AH30" s="11" t="b">
        <v>1</v>
      </c>
      <c r="AI30" s="11" t="b">
        <v>1</v>
      </c>
      <c r="AJ30" s="11" t="b">
        <v>1</v>
      </c>
      <c r="AK30" s="11" t="b">
        <v>0</v>
      </c>
      <c r="AL30" s="11" t="s">
        <v>133</v>
      </c>
      <c r="AM30" s="11" t="s">
        <v>138</v>
      </c>
      <c r="AS30" s="11" t="s">
        <v>144</v>
      </c>
      <c r="AT30" s="11">
        <v>377</v>
      </c>
      <c r="EC30" s="11">
        <v>73.764049999999997</v>
      </c>
      <c r="EG30" s="12">
        <f t="shared" si="0"/>
        <v>1.0416666666666666E-2</v>
      </c>
    </row>
    <row r="31" spans="1:137" s="11" customFormat="1" x14ac:dyDescent="0.25">
      <c r="A31" s="13">
        <v>747</v>
      </c>
      <c r="B31" s="11">
        <v>518.96579999999994</v>
      </c>
      <c r="C31" s="11">
        <v>11.804</v>
      </c>
      <c r="D31" s="11">
        <v>164.83</v>
      </c>
      <c r="E31" s="11" t="s">
        <v>434</v>
      </c>
      <c r="F31" s="12">
        <v>0.19791666666666666</v>
      </c>
      <c r="G31" s="11" t="s">
        <v>137</v>
      </c>
      <c r="H31" s="11" t="s">
        <v>138</v>
      </c>
      <c r="I31" s="11" t="s">
        <v>139</v>
      </c>
      <c r="J31" s="11">
        <v>22.257000000000001</v>
      </c>
      <c r="K31" s="11" t="s">
        <v>133</v>
      </c>
      <c r="L31" s="11" t="s">
        <v>192</v>
      </c>
      <c r="M31" s="11" t="s">
        <v>176</v>
      </c>
      <c r="N31" s="11" t="s">
        <v>177</v>
      </c>
      <c r="O31" s="11" t="s">
        <v>178</v>
      </c>
      <c r="P31" s="11">
        <v>-1</v>
      </c>
      <c r="Q31" s="11">
        <v>2</v>
      </c>
      <c r="R31" s="11">
        <v>48</v>
      </c>
      <c r="S31" s="11">
        <v>100</v>
      </c>
      <c r="U31" s="11" t="b">
        <v>0</v>
      </c>
      <c r="V31" s="11" t="s">
        <v>179</v>
      </c>
      <c r="W31" s="11">
        <v>519</v>
      </c>
      <c r="X31" s="11">
        <v>-3.4200000000055297E-2</v>
      </c>
      <c r="Y31" s="11">
        <v>518.99894908567705</v>
      </c>
      <c r="Z31" s="11">
        <v>519</v>
      </c>
      <c r="AA31" s="11">
        <v>-1.0509143231728999E-3</v>
      </c>
      <c r="AB31" s="11">
        <v>27</v>
      </c>
      <c r="AC31" s="11">
        <v>9</v>
      </c>
      <c r="AD31" s="11">
        <v>2</v>
      </c>
      <c r="AE31" s="11" t="b">
        <v>1</v>
      </c>
      <c r="AF31" s="11" t="s">
        <v>142</v>
      </c>
      <c r="AG31" s="11" t="s">
        <v>165</v>
      </c>
      <c r="AH31" s="11" t="b">
        <v>1</v>
      </c>
      <c r="AI31" s="11" t="b">
        <v>1</v>
      </c>
      <c r="AJ31" s="11" t="b">
        <v>0</v>
      </c>
      <c r="AK31" s="11" t="b">
        <v>0</v>
      </c>
      <c r="AL31" s="11" t="s">
        <v>133</v>
      </c>
      <c r="AM31" s="11" t="s">
        <v>138</v>
      </c>
      <c r="AS31" s="11" t="s">
        <v>144</v>
      </c>
      <c r="AT31" s="11">
        <v>747</v>
      </c>
      <c r="AW31" s="11">
        <v>59.855510000000002</v>
      </c>
      <c r="BA31" s="11">
        <v>357.85550000000001</v>
      </c>
      <c r="BB31" s="11">
        <v>103.85550000000001</v>
      </c>
      <c r="BC31" s="11">
        <v>750.85550000000001</v>
      </c>
      <c r="BI31" s="11">
        <v>488.85550000000001</v>
      </c>
      <c r="BJ31" s="11">
        <v>498.85550000000001</v>
      </c>
      <c r="BX31" s="11">
        <v>275.85550000000001</v>
      </c>
      <c r="CD31" s="11">
        <v>413.85550000000001</v>
      </c>
      <c r="CR31" s="11">
        <v>904.85550000000001</v>
      </c>
      <c r="CS31" s="11">
        <v>267.85550000000001</v>
      </c>
      <c r="CT31" s="11">
        <v>516.85550000000001</v>
      </c>
      <c r="CU31" s="11">
        <v>1063.856</v>
      </c>
      <c r="CV31" s="11">
        <v>145.85550000000001</v>
      </c>
      <c r="DB31" s="11">
        <v>587.85550000000001</v>
      </c>
      <c r="DC31" s="11">
        <v>221.85550000000001</v>
      </c>
      <c r="DG31" s="11">
        <v>125.85550000000001</v>
      </c>
      <c r="DI31" s="11">
        <v>644.85550000000001</v>
      </c>
      <c r="DK31" s="11">
        <v>439.85550000000001</v>
      </c>
      <c r="EB31" s="11">
        <v>352.85550000000001</v>
      </c>
      <c r="EG31" s="12">
        <f t="shared" si="0"/>
        <v>0.19791666666666666</v>
      </c>
    </row>
    <row r="32" spans="1:137" s="11" customFormat="1" x14ac:dyDescent="0.25">
      <c r="A32" s="13">
        <v>1413</v>
      </c>
      <c r="B32" s="11">
        <v>184.98519999999999</v>
      </c>
      <c r="C32" s="11">
        <v>11.164999999999999</v>
      </c>
      <c r="D32" s="11">
        <v>115.97</v>
      </c>
      <c r="E32" s="11" t="s">
        <v>425</v>
      </c>
      <c r="F32" s="12">
        <v>0.38541666666666669</v>
      </c>
      <c r="G32" s="11" t="s">
        <v>137</v>
      </c>
      <c r="H32" s="11" t="s">
        <v>138</v>
      </c>
      <c r="I32" s="11" t="s">
        <v>139</v>
      </c>
      <c r="J32" s="11">
        <v>14.978</v>
      </c>
      <c r="K32" s="11" t="s">
        <v>133</v>
      </c>
      <c r="L32" s="11" t="s">
        <v>208</v>
      </c>
      <c r="M32" s="11" t="s">
        <v>209</v>
      </c>
      <c r="N32" s="11" t="s">
        <v>210</v>
      </c>
      <c r="P32" s="11">
        <v>-1</v>
      </c>
      <c r="Q32" s="11">
        <v>1</v>
      </c>
      <c r="R32" s="11">
        <v>37</v>
      </c>
      <c r="S32" s="11">
        <v>99.8</v>
      </c>
      <c r="U32" s="11" t="b">
        <v>0</v>
      </c>
      <c r="V32" s="11" t="s">
        <v>211</v>
      </c>
      <c r="W32" s="11">
        <v>185</v>
      </c>
      <c r="X32" s="11">
        <v>-1.48000000000081E-2</v>
      </c>
      <c r="Y32" s="11">
        <v>184.997015981407</v>
      </c>
      <c r="Z32" s="11">
        <v>185</v>
      </c>
      <c r="AA32" s="11">
        <v>-2.9840185928548999E-3</v>
      </c>
      <c r="AB32" s="11">
        <v>35</v>
      </c>
      <c r="AC32" s="11">
        <v>6</v>
      </c>
      <c r="AD32" s="11">
        <v>2</v>
      </c>
      <c r="AE32" s="11" t="b">
        <v>1</v>
      </c>
      <c r="AF32" s="11" t="s">
        <v>212</v>
      </c>
      <c r="AG32" s="11" t="s">
        <v>165</v>
      </c>
      <c r="AH32" s="11" t="b">
        <v>1</v>
      </c>
      <c r="AI32" s="11" t="b">
        <v>1</v>
      </c>
      <c r="AJ32" s="11" t="b">
        <v>0</v>
      </c>
      <c r="AK32" s="11" t="b">
        <v>0</v>
      </c>
      <c r="AL32" s="11" t="s">
        <v>133</v>
      </c>
      <c r="AM32" s="11" t="s">
        <v>138</v>
      </c>
      <c r="AS32" s="11" t="s">
        <v>144</v>
      </c>
      <c r="AT32" s="11">
        <v>1413</v>
      </c>
      <c r="AU32" s="11">
        <v>293.99900000000002</v>
      </c>
      <c r="AV32" s="11">
        <v>138.999</v>
      </c>
      <c r="AW32" s="11">
        <v>167.999</v>
      </c>
      <c r="AX32" s="11">
        <v>139.999</v>
      </c>
      <c r="AZ32" s="11">
        <v>233.999</v>
      </c>
      <c r="BA32" s="11">
        <v>213.999</v>
      </c>
      <c r="BB32" s="11">
        <v>187.999</v>
      </c>
      <c r="BI32" s="11">
        <v>317.99900000000002</v>
      </c>
      <c r="BJ32" s="11">
        <v>261.99900000000002</v>
      </c>
      <c r="BK32" s="11">
        <v>198.999</v>
      </c>
      <c r="BM32" s="11">
        <v>167.999</v>
      </c>
      <c r="BQ32" s="11">
        <v>535.99900000000002</v>
      </c>
      <c r="BT32" s="11">
        <v>108.999</v>
      </c>
      <c r="BU32" s="11">
        <v>355.99900000000002</v>
      </c>
      <c r="BW32" s="11">
        <v>94.998999999999995</v>
      </c>
      <c r="BX32" s="11">
        <v>140.999</v>
      </c>
      <c r="CA32" s="11">
        <v>2784.9989999999998</v>
      </c>
      <c r="CF32" s="11">
        <v>825.99900000000002</v>
      </c>
      <c r="CJ32" s="11">
        <v>377.99900000000002</v>
      </c>
      <c r="CK32" s="11">
        <v>240.999</v>
      </c>
      <c r="CP32" s="11">
        <v>82.998999999999995</v>
      </c>
      <c r="CR32" s="11">
        <v>319.99900000000002</v>
      </c>
      <c r="DB32" s="11">
        <v>103.999</v>
      </c>
      <c r="DC32" s="11">
        <v>87.998999999999995</v>
      </c>
      <c r="DF32" s="11">
        <v>145.999</v>
      </c>
      <c r="DG32" s="11">
        <v>690.99900000000002</v>
      </c>
      <c r="DJ32" s="11">
        <v>66.998999999999995</v>
      </c>
      <c r="DO32" s="11">
        <v>231.999</v>
      </c>
      <c r="DS32" s="11">
        <v>162.999</v>
      </c>
      <c r="DT32" s="11">
        <v>338.99900000000002</v>
      </c>
      <c r="DV32" s="11">
        <v>221.999</v>
      </c>
      <c r="DY32" s="11">
        <v>438.99900000000002</v>
      </c>
      <c r="DZ32" s="11">
        <v>505.99900000000002</v>
      </c>
      <c r="EA32" s="11">
        <v>130.999</v>
      </c>
      <c r="EC32" s="11">
        <v>1929.999</v>
      </c>
      <c r="ED32" s="11">
        <v>271.99900000000002</v>
      </c>
      <c r="EE32" s="11">
        <v>534.99900000000002</v>
      </c>
      <c r="EG32" s="12">
        <f t="shared" si="0"/>
        <v>0.38541666666666669</v>
      </c>
    </row>
    <row r="33" spans="2:5" x14ac:dyDescent="0.25">
      <c r="E33" s="9"/>
    </row>
    <row r="36" spans="2:5" x14ac:dyDescent="0.25">
      <c r="B36" t="s">
        <v>187</v>
      </c>
      <c r="C36" t="s">
        <v>149</v>
      </c>
      <c r="D36" t="s">
        <v>213</v>
      </c>
    </row>
    <row r="37" spans="2:5" x14ac:dyDescent="0.25">
      <c r="B37" t="s">
        <v>167</v>
      </c>
      <c r="C37" t="s">
        <v>157</v>
      </c>
      <c r="D37" t="s">
        <v>182</v>
      </c>
    </row>
    <row r="38" spans="2:5" x14ac:dyDescent="0.25">
      <c r="B38" t="s">
        <v>217</v>
      </c>
      <c r="C38" t="s">
        <v>146</v>
      </c>
      <c r="D38" t="s">
        <v>209</v>
      </c>
    </row>
    <row r="39" spans="2:5" x14ac:dyDescent="0.25">
      <c r="B39" t="s">
        <v>206</v>
      </c>
      <c r="C39" t="s">
        <v>173</v>
      </c>
    </row>
    <row r="40" spans="2:5" x14ac:dyDescent="0.25">
      <c r="B40" t="s">
        <v>199</v>
      </c>
      <c r="C40" t="s">
        <v>135</v>
      </c>
    </row>
    <row r="41" spans="2:5" x14ac:dyDescent="0.25">
      <c r="B41" t="s">
        <v>176</v>
      </c>
    </row>
  </sheetData>
  <sortState xmlns:xlrd2="http://schemas.microsoft.com/office/spreadsheetml/2017/richdata2" ref="A2:EG32">
    <sortCondition ref="D2:D32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F63"/>
  <sheetViews>
    <sheetView zoomScale="80" zoomScaleNormal="80" workbookViewId="0">
      <selection activeCell="G30" sqref="G30"/>
    </sheetView>
  </sheetViews>
  <sheetFormatPr defaultRowHeight="15" x14ac:dyDescent="0.25"/>
  <cols>
    <col min="9" max="9" width="28.42578125" bestFit="1" customWidth="1"/>
  </cols>
  <sheetData>
    <row r="1" spans="1:1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340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219</v>
      </c>
      <c r="AS1" s="1" t="s">
        <v>0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55</v>
      </c>
      <c r="BF1" s="1" t="s">
        <v>56</v>
      </c>
      <c r="BG1" s="1" t="s">
        <v>57</v>
      </c>
      <c r="BH1" s="1" t="s">
        <v>220</v>
      </c>
      <c r="BI1" s="1" t="s">
        <v>58</v>
      </c>
      <c r="BJ1" s="1" t="s">
        <v>59</v>
      </c>
      <c r="BK1" s="1" t="s">
        <v>221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222</v>
      </c>
      <c r="BR1" s="1" t="s">
        <v>65</v>
      </c>
      <c r="BS1" s="1" t="s">
        <v>66</v>
      </c>
      <c r="BT1" s="1" t="s">
        <v>67</v>
      </c>
      <c r="BU1" s="1" t="s">
        <v>68</v>
      </c>
      <c r="BV1" s="1" t="s">
        <v>69</v>
      </c>
      <c r="BW1" s="1" t="s">
        <v>70</v>
      </c>
      <c r="BX1" s="1" t="s">
        <v>71</v>
      </c>
      <c r="BY1" s="1" t="s">
        <v>72</v>
      </c>
      <c r="BZ1" s="1" t="s">
        <v>73</v>
      </c>
      <c r="CA1" s="1" t="s">
        <v>74</v>
      </c>
      <c r="CB1" s="1" t="s">
        <v>75</v>
      </c>
      <c r="CC1" s="1" t="s">
        <v>223</v>
      </c>
      <c r="CD1" s="1" t="s">
        <v>76</v>
      </c>
      <c r="CE1" s="1" t="s">
        <v>77</v>
      </c>
      <c r="CF1" s="1" t="s">
        <v>78</v>
      </c>
      <c r="CG1" s="1" t="s">
        <v>79</v>
      </c>
      <c r="CH1" s="1" t="s">
        <v>80</v>
      </c>
      <c r="CI1" s="1" t="s">
        <v>81</v>
      </c>
      <c r="CJ1" s="1" t="s">
        <v>82</v>
      </c>
      <c r="CK1" s="1" t="s">
        <v>83</v>
      </c>
      <c r="CL1" s="1" t="s">
        <v>84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224</v>
      </c>
      <c r="CY1" s="1" t="s">
        <v>98</v>
      </c>
      <c r="CZ1" s="1" t="s">
        <v>99</v>
      </c>
      <c r="DA1" s="1" t="s">
        <v>100</v>
      </c>
      <c r="DB1" s="1" t="s">
        <v>101</v>
      </c>
      <c r="DC1" s="1" t="s">
        <v>102</v>
      </c>
      <c r="DD1" s="1" t="s">
        <v>103</v>
      </c>
      <c r="DE1" s="1" t="s">
        <v>104</v>
      </c>
      <c r="DF1" s="1" t="s">
        <v>105</v>
      </c>
      <c r="DG1" s="1" t="s">
        <v>106</v>
      </c>
      <c r="DH1" s="1" t="s">
        <v>107</v>
      </c>
      <c r="DI1" s="1" t="s">
        <v>108</v>
      </c>
      <c r="DJ1" s="1" t="s">
        <v>109</v>
      </c>
      <c r="DK1" s="1" t="s">
        <v>110</v>
      </c>
      <c r="DL1" s="1" t="s">
        <v>111</v>
      </c>
      <c r="DM1" s="1" t="s">
        <v>112</v>
      </c>
      <c r="DN1" s="1" t="s">
        <v>113</v>
      </c>
      <c r="DO1" s="1" t="s">
        <v>114</v>
      </c>
      <c r="DP1" s="1" t="s">
        <v>115</v>
      </c>
      <c r="DQ1" s="1" t="s">
        <v>116</v>
      </c>
      <c r="DR1" s="1" t="s">
        <v>117</v>
      </c>
      <c r="DS1" s="1" t="s">
        <v>118</v>
      </c>
      <c r="DT1" s="1" t="s">
        <v>119</v>
      </c>
      <c r="DU1" s="1" t="s">
        <v>120</v>
      </c>
      <c r="DV1" s="1" t="s">
        <v>121</v>
      </c>
      <c r="DW1" s="1" t="s">
        <v>122</v>
      </c>
      <c r="DX1" s="1" t="s">
        <v>123</v>
      </c>
      <c r="DY1" s="1" t="s">
        <v>124</v>
      </c>
      <c r="DZ1" s="1" t="s">
        <v>126</v>
      </c>
      <c r="EA1" s="1" t="s">
        <v>128</v>
      </c>
      <c r="EB1" s="1" t="s">
        <v>129</v>
      </c>
      <c r="EC1" s="1" t="s">
        <v>130</v>
      </c>
      <c r="ED1" s="1" t="s">
        <v>131</v>
      </c>
      <c r="EE1" s="1" t="s">
        <v>132</v>
      </c>
      <c r="EF1" s="2" t="s">
        <v>336</v>
      </c>
    </row>
    <row r="2" spans="1:136" x14ac:dyDescent="0.25">
      <c r="A2" s="1">
        <v>469</v>
      </c>
      <c r="B2" t="s">
        <v>225</v>
      </c>
      <c r="C2" t="s">
        <v>166</v>
      </c>
      <c r="D2" t="s">
        <v>241</v>
      </c>
      <c r="E2" t="s">
        <v>162</v>
      </c>
      <c r="F2" t="s">
        <v>163</v>
      </c>
      <c r="G2">
        <v>612.9529</v>
      </c>
      <c r="H2">
        <v>12.464</v>
      </c>
      <c r="I2" t="s">
        <v>379</v>
      </c>
      <c r="J2" t="s">
        <v>137</v>
      </c>
      <c r="K2" t="s">
        <v>228</v>
      </c>
      <c r="L2" t="s">
        <v>137</v>
      </c>
      <c r="M2">
        <v>29.285</v>
      </c>
      <c r="N2">
        <v>216.09</v>
      </c>
      <c r="O2">
        <v>-1</v>
      </c>
      <c r="P2">
        <v>4</v>
      </c>
      <c r="Q2">
        <v>83</v>
      </c>
      <c r="R2">
        <v>100</v>
      </c>
      <c r="T2" t="b">
        <v>0</v>
      </c>
      <c r="U2" t="s">
        <v>242</v>
      </c>
      <c r="V2">
        <v>613</v>
      </c>
      <c r="W2">
        <v>-4.7100000000000398E-2</v>
      </c>
      <c r="X2">
        <v>612.99205253798596</v>
      </c>
      <c r="Y2">
        <v>613</v>
      </c>
      <c r="Z2">
        <v>-7.9474620139307998E-3</v>
      </c>
      <c r="AA2">
        <v>37</v>
      </c>
      <c r="AB2">
        <v>14</v>
      </c>
      <c r="AC2">
        <v>4</v>
      </c>
      <c r="AD2" t="b">
        <v>1</v>
      </c>
      <c r="AE2" t="s">
        <v>142</v>
      </c>
      <c r="AF2" t="s">
        <v>143</v>
      </c>
      <c r="AG2" t="b">
        <v>0</v>
      </c>
      <c r="AH2" t="b">
        <v>1</v>
      </c>
      <c r="AI2" t="b">
        <v>1</v>
      </c>
      <c r="AJ2" t="b">
        <v>1</v>
      </c>
      <c r="AK2" t="s">
        <v>225</v>
      </c>
      <c r="AL2" t="s">
        <v>228</v>
      </c>
      <c r="AR2" t="b">
        <v>1</v>
      </c>
      <c r="AS2">
        <v>469</v>
      </c>
      <c r="AU2">
        <v>108.30840000000001</v>
      </c>
      <c r="AW2">
        <v>491.30840000000001</v>
      </c>
      <c r="AZ2">
        <v>822.30840000000001</v>
      </c>
      <c r="BA2">
        <v>610.30840000000001</v>
      </c>
      <c r="BC2">
        <v>393.30840000000001</v>
      </c>
      <c r="BE2">
        <v>284.30840000000001</v>
      </c>
      <c r="BI2">
        <v>799.30840000000001</v>
      </c>
      <c r="BJ2">
        <v>93.308359999999993</v>
      </c>
      <c r="BM2">
        <v>572.30840000000001</v>
      </c>
      <c r="BT2">
        <v>572.30840000000001</v>
      </c>
      <c r="BY2">
        <v>506.30840000000001</v>
      </c>
      <c r="CD2">
        <v>630.30840000000001</v>
      </c>
      <c r="CE2">
        <v>871.30840000000001</v>
      </c>
      <c r="CF2">
        <v>737.30840000000001</v>
      </c>
      <c r="CH2">
        <v>457.30840000000001</v>
      </c>
      <c r="CJ2">
        <v>27.30836</v>
      </c>
      <c r="CO2">
        <v>63.30836</v>
      </c>
      <c r="CQ2">
        <v>1422.308</v>
      </c>
      <c r="CR2">
        <v>779.30840000000001</v>
      </c>
      <c r="CS2">
        <v>776.30840000000001</v>
      </c>
      <c r="CT2">
        <v>599.30840000000001</v>
      </c>
      <c r="CU2">
        <v>2939.308</v>
      </c>
      <c r="CV2">
        <v>707.30840000000001</v>
      </c>
      <c r="CW2">
        <v>260.30840000000001</v>
      </c>
      <c r="CY2">
        <v>4.3083640000000001</v>
      </c>
      <c r="CZ2">
        <v>53.30836</v>
      </c>
      <c r="DA2">
        <v>392.30840000000001</v>
      </c>
      <c r="DC2">
        <v>674.30840000000001</v>
      </c>
      <c r="DD2">
        <v>518.30840000000001</v>
      </c>
      <c r="DG2">
        <v>431.30840000000001</v>
      </c>
      <c r="DH2">
        <v>448.30840000000001</v>
      </c>
      <c r="DJ2">
        <v>584.30840000000001</v>
      </c>
      <c r="DL2">
        <v>516.30840000000001</v>
      </c>
      <c r="DM2">
        <v>370.30840000000001</v>
      </c>
      <c r="DT2">
        <v>12.30836</v>
      </c>
      <c r="DW2">
        <v>34.308363900000003</v>
      </c>
      <c r="EB2">
        <v>182.30840000000001</v>
      </c>
      <c r="EE2">
        <v>172.30840000000001</v>
      </c>
      <c r="EF2" s="3">
        <f t="shared" ref="EF2:EF33" si="0">COUNT(AT2:EE2)/96</f>
        <v>0.39583333333333331</v>
      </c>
    </row>
    <row r="3" spans="1:136" x14ac:dyDescent="0.25">
      <c r="A3" s="1">
        <v>608</v>
      </c>
      <c r="B3" t="s">
        <v>230</v>
      </c>
      <c r="C3" t="s">
        <v>181</v>
      </c>
      <c r="D3" t="s">
        <v>246</v>
      </c>
      <c r="E3" t="s">
        <v>154</v>
      </c>
      <c r="F3" t="s">
        <v>155</v>
      </c>
      <c r="G3">
        <v>512.9579</v>
      </c>
      <c r="H3">
        <v>11.223000000000001</v>
      </c>
      <c r="I3" t="s">
        <v>379</v>
      </c>
      <c r="J3" t="s">
        <v>137</v>
      </c>
      <c r="K3" t="s">
        <v>231</v>
      </c>
      <c r="L3" t="s">
        <v>137</v>
      </c>
      <c r="M3">
        <v>26.885000000000002</v>
      </c>
      <c r="N3">
        <v>199.2</v>
      </c>
      <c r="O3">
        <v>-1</v>
      </c>
      <c r="P3">
        <v>2</v>
      </c>
      <c r="Q3">
        <v>82</v>
      </c>
      <c r="R3">
        <v>100</v>
      </c>
      <c r="T3" t="b">
        <v>0</v>
      </c>
      <c r="U3" t="s">
        <v>247</v>
      </c>
      <c r="V3">
        <v>513</v>
      </c>
      <c r="W3">
        <v>-4.2100000000004897E-2</v>
      </c>
      <c r="X3">
        <v>512.99066532938298</v>
      </c>
      <c r="Y3">
        <v>513</v>
      </c>
      <c r="Z3">
        <v>-9.3346706165675E-3</v>
      </c>
      <c r="AA3">
        <v>35</v>
      </c>
      <c r="AB3">
        <v>0</v>
      </c>
      <c r="AC3">
        <v>0</v>
      </c>
      <c r="AD3" t="b">
        <v>1</v>
      </c>
      <c r="AG3" t="b">
        <v>0</v>
      </c>
      <c r="AH3" t="b">
        <v>0</v>
      </c>
      <c r="AI3" t="b">
        <v>0</v>
      </c>
      <c r="AJ3" t="b">
        <v>1</v>
      </c>
      <c r="AK3" t="s">
        <v>230</v>
      </c>
      <c r="AL3" t="s">
        <v>231</v>
      </c>
      <c r="AR3" t="b">
        <v>1</v>
      </c>
      <c r="AS3">
        <v>608</v>
      </c>
      <c r="AT3">
        <v>143.3065</v>
      </c>
      <c r="AU3">
        <v>921.30650000000003</v>
      </c>
      <c r="AW3">
        <v>20.30649</v>
      </c>
      <c r="AX3">
        <v>613.30650000000003</v>
      </c>
      <c r="AY3">
        <v>677.30650000000003</v>
      </c>
      <c r="AZ3">
        <v>319.30650000000003</v>
      </c>
      <c r="BC3">
        <v>62.306489999999997</v>
      </c>
      <c r="BF3">
        <v>347.30650000000003</v>
      </c>
      <c r="BG3">
        <v>47.306489999999997</v>
      </c>
      <c r="BI3">
        <v>460.30650000000003</v>
      </c>
      <c r="BR3">
        <v>206.3065</v>
      </c>
      <c r="BT3">
        <v>97.306489999999997</v>
      </c>
      <c r="BY3">
        <v>155.3065</v>
      </c>
      <c r="CE3">
        <v>341.30650000000003</v>
      </c>
      <c r="CF3">
        <v>396.30650000000003</v>
      </c>
      <c r="CH3">
        <v>329.30650000000003</v>
      </c>
      <c r="CQ3">
        <v>663.30650000000003</v>
      </c>
      <c r="CR3">
        <v>428.30650000000003</v>
      </c>
      <c r="CS3">
        <v>252.3065</v>
      </c>
      <c r="CT3">
        <v>199.3065</v>
      </c>
      <c r="CU3">
        <v>816.30650000000003</v>
      </c>
      <c r="DA3">
        <v>198.3065</v>
      </c>
      <c r="DC3">
        <v>203.3065</v>
      </c>
      <c r="DG3">
        <v>19.30649</v>
      </c>
      <c r="DH3">
        <v>230.3065</v>
      </c>
      <c r="DJ3">
        <v>340.30650000000003</v>
      </c>
      <c r="DL3">
        <v>348.30650000000003</v>
      </c>
      <c r="DM3">
        <v>32.306489999999997</v>
      </c>
      <c r="DQ3">
        <v>565.30650000000003</v>
      </c>
      <c r="DR3">
        <v>167.3065</v>
      </c>
      <c r="DU3">
        <v>434.30650000000003</v>
      </c>
      <c r="DW3">
        <v>78.306494200000003</v>
      </c>
      <c r="DY3">
        <v>210.3065</v>
      </c>
      <c r="DZ3">
        <v>1023.306</v>
      </c>
      <c r="EA3">
        <v>149.3065</v>
      </c>
      <c r="EB3">
        <v>1266.306</v>
      </c>
      <c r="ED3">
        <v>573.30650000000003</v>
      </c>
      <c r="EF3" s="3">
        <f t="shared" si="0"/>
        <v>0.38541666666666669</v>
      </c>
    </row>
    <row r="4" spans="1:136" x14ac:dyDescent="0.25">
      <c r="A4" s="1">
        <v>1906</v>
      </c>
      <c r="B4" t="s">
        <v>225</v>
      </c>
      <c r="C4" t="s">
        <v>134</v>
      </c>
      <c r="D4" t="s">
        <v>260</v>
      </c>
      <c r="E4" t="s">
        <v>202</v>
      </c>
      <c r="F4" t="s">
        <v>203</v>
      </c>
      <c r="G4">
        <v>712.94690000000003</v>
      </c>
      <c r="H4">
        <v>13.398999999999999</v>
      </c>
      <c r="I4" t="s">
        <v>379</v>
      </c>
      <c r="J4" t="s">
        <v>137</v>
      </c>
      <c r="K4" t="s">
        <v>228</v>
      </c>
      <c r="L4" t="s">
        <v>137</v>
      </c>
      <c r="M4">
        <v>31.641999999999999</v>
      </c>
      <c r="N4">
        <v>232.76</v>
      </c>
      <c r="O4">
        <v>-1</v>
      </c>
      <c r="P4">
        <v>3</v>
      </c>
      <c r="Q4">
        <v>36</v>
      </c>
      <c r="R4">
        <v>100</v>
      </c>
      <c r="T4" t="b">
        <v>0</v>
      </c>
      <c r="U4" t="s">
        <v>261</v>
      </c>
      <c r="V4">
        <v>713</v>
      </c>
      <c r="W4">
        <v>-5.3099999999972197E-2</v>
      </c>
      <c r="X4">
        <v>712.99243968271401</v>
      </c>
      <c r="Y4">
        <v>713</v>
      </c>
      <c r="Z4">
        <v>-7.5603172864474998E-3</v>
      </c>
      <c r="AA4">
        <v>38</v>
      </c>
      <c r="AB4">
        <v>11</v>
      </c>
      <c r="AC4">
        <v>4</v>
      </c>
      <c r="AD4" t="b">
        <v>1</v>
      </c>
      <c r="AE4" t="s">
        <v>142</v>
      </c>
      <c r="AF4" t="s">
        <v>143</v>
      </c>
      <c r="AG4" t="b">
        <v>0</v>
      </c>
      <c r="AH4" t="b">
        <v>1</v>
      </c>
      <c r="AI4" t="b">
        <v>1</v>
      </c>
      <c r="AJ4" t="b">
        <v>1</v>
      </c>
      <c r="AK4" t="s">
        <v>225</v>
      </c>
      <c r="AL4" t="s">
        <v>228</v>
      </c>
      <c r="AR4" t="b">
        <v>1</v>
      </c>
      <c r="AS4">
        <v>1906</v>
      </c>
      <c r="AW4">
        <v>204.0513</v>
      </c>
      <c r="AZ4">
        <v>147.0513</v>
      </c>
      <c r="BA4">
        <v>317.05130000000003</v>
      </c>
      <c r="BC4">
        <v>218.0513</v>
      </c>
      <c r="BE4">
        <v>223.0513</v>
      </c>
      <c r="BI4">
        <v>206.0513</v>
      </c>
      <c r="BM4">
        <v>356.05130000000003</v>
      </c>
      <c r="BR4">
        <v>28.05125</v>
      </c>
      <c r="BT4">
        <v>94.051249999999996</v>
      </c>
      <c r="BW4">
        <v>78.051249999999996</v>
      </c>
      <c r="CD4">
        <v>144.0513</v>
      </c>
      <c r="CE4">
        <v>219.0513</v>
      </c>
      <c r="CF4">
        <v>296.05130000000003</v>
      </c>
      <c r="CH4">
        <v>157.0513</v>
      </c>
      <c r="CJ4">
        <v>102.0513</v>
      </c>
      <c r="CP4">
        <v>11.05125</v>
      </c>
      <c r="CQ4">
        <v>526.05129999999997</v>
      </c>
      <c r="CR4">
        <v>127.0513</v>
      </c>
      <c r="CS4">
        <v>384.05130000000003</v>
      </c>
      <c r="CT4">
        <v>329.05130000000003</v>
      </c>
      <c r="CU4">
        <v>1105.0509999999999</v>
      </c>
      <c r="CY4">
        <v>68.051249999999996</v>
      </c>
      <c r="DC4">
        <v>195.0513</v>
      </c>
      <c r="DD4">
        <v>156.0513</v>
      </c>
      <c r="DE4">
        <v>141.0513</v>
      </c>
      <c r="DG4">
        <v>79.051249999999996</v>
      </c>
      <c r="DH4">
        <v>209.0513</v>
      </c>
      <c r="DI4">
        <v>62.051250400000001</v>
      </c>
      <c r="DJ4">
        <v>106.0513</v>
      </c>
      <c r="DL4">
        <v>179.0513</v>
      </c>
      <c r="DM4">
        <v>520.05129999999997</v>
      </c>
      <c r="DP4">
        <v>132.0513</v>
      </c>
      <c r="DV4">
        <v>2.05125</v>
      </c>
      <c r="EB4">
        <v>161.0513</v>
      </c>
      <c r="EF4" s="3">
        <f t="shared" si="0"/>
        <v>0.35416666666666669</v>
      </c>
    </row>
    <row r="5" spans="1:136" x14ac:dyDescent="0.25">
      <c r="A5" s="1">
        <v>2683</v>
      </c>
      <c r="B5" t="s">
        <v>225</v>
      </c>
      <c r="C5" t="s">
        <v>134</v>
      </c>
      <c r="D5" t="s">
        <v>266</v>
      </c>
      <c r="E5" t="s">
        <v>177</v>
      </c>
      <c r="F5" t="s">
        <v>178</v>
      </c>
      <c r="G5">
        <v>562.95489999999995</v>
      </c>
      <c r="H5">
        <v>11.718</v>
      </c>
      <c r="I5" t="s">
        <v>379</v>
      </c>
      <c r="J5" t="s">
        <v>137</v>
      </c>
      <c r="K5" t="s">
        <v>228</v>
      </c>
      <c r="L5" t="s">
        <v>137</v>
      </c>
      <c r="M5">
        <v>27.861000000000001</v>
      </c>
      <c r="N5">
        <v>205.98</v>
      </c>
      <c r="O5">
        <v>-1</v>
      </c>
      <c r="P5">
        <v>1</v>
      </c>
      <c r="Q5">
        <v>28</v>
      </c>
      <c r="R5">
        <v>99</v>
      </c>
      <c r="T5" t="b">
        <v>0</v>
      </c>
      <c r="U5" t="s">
        <v>267</v>
      </c>
      <c r="V5">
        <v>563</v>
      </c>
      <c r="W5">
        <v>-4.5100000000047699E-2</v>
      </c>
      <c r="X5">
        <v>562.99085890174695</v>
      </c>
      <c r="Y5">
        <v>563</v>
      </c>
      <c r="Z5">
        <v>-9.1410982529396001E-3</v>
      </c>
      <c r="AA5">
        <v>38</v>
      </c>
      <c r="AB5">
        <v>11</v>
      </c>
      <c r="AC5">
        <v>4</v>
      </c>
      <c r="AD5" t="b">
        <v>1</v>
      </c>
      <c r="AE5" t="s">
        <v>142</v>
      </c>
      <c r="AF5" t="s">
        <v>143</v>
      </c>
      <c r="AG5" t="b">
        <v>0</v>
      </c>
      <c r="AH5" t="b">
        <v>1</v>
      </c>
      <c r="AI5" t="b">
        <v>1</v>
      </c>
      <c r="AJ5" t="b">
        <v>1</v>
      </c>
      <c r="AK5" t="s">
        <v>225</v>
      </c>
      <c r="AL5" t="s">
        <v>228</v>
      </c>
      <c r="AR5" t="b">
        <v>1</v>
      </c>
      <c r="AS5">
        <v>2683</v>
      </c>
      <c r="AW5">
        <v>157.999</v>
      </c>
      <c r="AZ5">
        <v>306.99900000000002</v>
      </c>
      <c r="BI5">
        <v>363.99900000000002</v>
      </c>
      <c r="BL5">
        <v>56.999000000000002</v>
      </c>
      <c r="BT5">
        <v>216.999</v>
      </c>
      <c r="BX5">
        <v>179.999</v>
      </c>
      <c r="BY5">
        <v>311.99900000000002</v>
      </c>
      <c r="BZ5">
        <v>61.999000000000002</v>
      </c>
      <c r="CE5">
        <v>289.99900000000002</v>
      </c>
      <c r="CF5">
        <v>296.99900000000002</v>
      </c>
      <c r="CH5">
        <v>118.999</v>
      </c>
      <c r="CM5">
        <v>363.99900000000002</v>
      </c>
      <c r="CQ5">
        <v>245.999</v>
      </c>
      <c r="CR5">
        <v>236.999</v>
      </c>
      <c r="CS5">
        <v>210.999</v>
      </c>
      <c r="CT5">
        <v>327.99900000000002</v>
      </c>
      <c r="CU5">
        <v>410.99900000000002</v>
      </c>
      <c r="CV5">
        <v>185.999</v>
      </c>
      <c r="DA5">
        <v>165.999</v>
      </c>
      <c r="DC5">
        <v>201.999</v>
      </c>
      <c r="DG5">
        <v>119.999</v>
      </c>
      <c r="DH5">
        <v>237.999</v>
      </c>
      <c r="DJ5">
        <v>348.99900000000002</v>
      </c>
      <c r="DL5">
        <v>494.99900000000002</v>
      </c>
      <c r="DT5">
        <v>234.999</v>
      </c>
      <c r="DW5">
        <v>147.999</v>
      </c>
      <c r="DX5">
        <v>133.999</v>
      </c>
      <c r="EE5">
        <v>139.999</v>
      </c>
      <c r="EF5" s="3">
        <f t="shared" si="0"/>
        <v>0.29166666666666669</v>
      </c>
    </row>
    <row r="6" spans="1:136" x14ac:dyDescent="0.25">
      <c r="A6" s="1">
        <v>1692</v>
      </c>
      <c r="B6" t="s">
        <v>230</v>
      </c>
      <c r="C6" t="s">
        <v>181</v>
      </c>
      <c r="D6" t="s">
        <v>256</v>
      </c>
      <c r="E6" t="s">
        <v>257</v>
      </c>
      <c r="F6" t="s">
        <v>258</v>
      </c>
      <c r="G6">
        <v>314.93889999999999</v>
      </c>
      <c r="H6">
        <v>11.195</v>
      </c>
      <c r="I6" t="s">
        <v>379</v>
      </c>
      <c r="J6" t="s">
        <v>137</v>
      </c>
      <c r="K6" t="s">
        <v>231</v>
      </c>
      <c r="L6" t="s">
        <v>137</v>
      </c>
      <c r="M6">
        <v>22.149000000000001</v>
      </c>
      <c r="N6">
        <v>166.76</v>
      </c>
      <c r="O6">
        <v>-1</v>
      </c>
      <c r="P6">
        <v>5</v>
      </c>
      <c r="Q6">
        <v>38</v>
      </c>
      <c r="R6">
        <v>100</v>
      </c>
      <c r="T6" t="b">
        <v>0</v>
      </c>
      <c r="U6" t="s">
        <v>259</v>
      </c>
      <c r="V6">
        <v>315</v>
      </c>
      <c r="W6">
        <v>-6.1100000000010403E-2</v>
      </c>
      <c r="X6">
        <v>314.95901681035502</v>
      </c>
      <c r="Y6">
        <v>315</v>
      </c>
      <c r="Z6">
        <v>-4.09831896454875E-2</v>
      </c>
      <c r="AA6">
        <v>32</v>
      </c>
      <c r="AB6">
        <v>0</v>
      </c>
      <c r="AC6">
        <v>0</v>
      </c>
      <c r="AD6" t="b">
        <v>1</v>
      </c>
      <c r="AG6" t="b">
        <v>0</v>
      </c>
      <c r="AH6" t="b">
        <v>0</v>
      </c>
      <c r="AI6" t="b">
        <v>0</v>
      </c>
      <c r="AJ6" t="b">
        <v>1</v>
      </c>
      <c r="AK6" t="s">
        <v>230</v>
      </c>
      <c r="AL6" t="s">
        <v>231</v>
      </c>
      <c r="AR6" t="b">
        <v>1</v>
      </c>
      <c r="AS6">
        <v>1692</v>
      </c>
      <c r="AT6">
        <v>504.62180000000001</v>
      </c>
      <c r="AU6">
        <v>833.62180000000001</v>
      </c>
      <c r="AV6">
        <v>42.621789999999997</v>
      </c>
      <c r="AX6">
        <v>175.62180000000001</v>
      </c>
      <c r="AY6">
        <v>295.62180000000001</v>
      </c>
      <c r="BB6">
        <v>91.621790000000004</v>
      </c>
      <c r="BE6">
        <v>321.62180000000001</v>
      </c>
      <c r="BF6">
        <v>16.621790000000001</v>
      </c>
      <c r="BG6">
        <v>184.62180000000001</v>
      </c>
      <c r="BH6">
        <v>141.62180000000001</v>
      </c>
      <c r="BI6">
        <v>61.621789999999997</v>
      </c>
      <c r="BJ6">
        <v>17.621790000000001</v>
      </c>
      <c r="BK6">
        <v>66.621789300000003</v>
      </c>
      <c r="BO6">
        <v>27.621790000000001</v>
      </c>
      <c r="BP6">
        <v>33.621789999999997</v>
      </c>
      <c r="BS6">
        <v>405.62180000000001</v>
      </c>
      <c r="BT6">
        <v>43.621789999999997</v>
      </c>
      <c r="BU6">
        <v>200.62180000000001</v>
      </c>
      <c r="BV6">
        <v>188.62180000000001</v>
      </c>
      <c r="BX6">
        <v>136.62180000000001</v>
      </c>
      <c r="BY6">
        <v>57.621789999999997</v>
      </c>
      <c r="BZ6">
        <v>197.62180000000001</v>
      </c>
      <c r="CA6">
        <v>16.621790000000001</v>
      </c>
      <c r="CB6">
        <v>635.62180000000001</v>
      </c>
      <c r="CD6">
        <v>224.62180000000001</v>
      </c>
      <c r="CF6">
        <v>256.62180000000001</v>
      </c>
      <c r="CL6">
        <v>53.621789300000003</v>
      </c>
      <c r="EF6" s="3">
        <f t="shared" si="0"/>
        <v>0.28125</v>
      </c>
    </row>
    <row r="7" spans="1:136" x14ac:dyDescent="0.25">
      <c r="A7" s="1">
        <v>4751</v>
      </c>
      <c r="B7" t="s">
        <v>230</v>
      </c>
      <c r="C7" t="s">
        <v>181</v>
      </c>
      <c r="D7" t="s">
        <v>275</v>
      </c>
      <c r="E7" t="s">
        <v>276</v>
      </c>
      <c r="F7" t="s">
        <v>277</v>
      </c>
      <c r="G7">
        <v>460.93110000000001</v>
      </c>
      <c r="H7">
        <v>9.4860000000000007</v>
      </c>
      <c r="I7" t="s">
        <v>379</v>
      </c>
      <c r="J7" t="s">
        <v>139</v>
      </c>
      <c r="K7" t="s">
        <v>231</v>
      </c>
      <c r="L7" t="s">
        <v>137</v>
      </c>
      <c r="M7">
        <v>21.471</v>
      </c>
      <c r="N7">
        <v>159.59</v>
      </c>
      <c r="O7">
        <v>-1</v>
      </c>
      <c r="P7">
        <v>1</v>
      </c>
      <c r="Q7">
        <v>19</v>
      </c>
      <c r="R7">
        <v>98.3</v>
      </c>
      <c r="T7" t="b">
        <v>0</v>
      </c>
      <c r="U7" t="s">
        <v>278</v>
      </c>
      <c r="V7">
        <v>461</v>
      </c>
      <c r="W7">
        <v>-6.8899999999985098E-2</v>
      </c>
      <c r="X7">
        <v>460.960542102977</v>
      </c>
      <c r="Y7">
        <v>461</v>
      </c>
      <c r="Z7">
        <v>-3.9457897023226003E-2</v>
      </c>
      <c r="AA7">
        <v>35</v>
      </c>
      <c r="AB7">
        <v>0</v>
      </c>
      <c r="AC7">
        <v>0</v>
      </c>
      <c r="AD7" t="b">
        <v>1</v>
      </c>
      <c r="AG7" t="b">
        <v>0</v>
      </c>
      <c r="AH7" t="b">
        <v>0</v>
      </c>
      <c r="AI7" t="b">
        <v>0</v>
      </c>
      <c r="AJ7" t="b">
        <v>1</v>
      </c>
      <c r="AK7" t="s">
        <v>230</v>
      </c>
      <c r="AL7" t="s">
        <v>231</v>
      </c>
      <c r="AR7" t="b">
        <v>1</v>
      </c>
      <c r="AS7">
        <v>4751</v>
      </c>
      <c r="AW7">
        <v>147.999</v>
      </c>
      <c r="AZ7">
        <v>179.999</v>
      </c>
      <c r="BI7">
        <v>285.99900000000002</v>
      </c>
      <c r="BM7">
        <v>150.999</v>
      </c>
      <c r="BY7">
        <v>83.998999999999995</v>
      </c>
      <c r="CD7">
        <v>111.999</v>
      </c>
      <c r="CE7">
        <v>131.999</v>
      </c>
      <c r="CF7">
        <v>276.99900000000002</v>
      </c>
      <c r="CH7">
        <v>305.99900000000002</v>
      </c>
      <c r="CQ7">
        <v>124.999</v>
      </c>
      <c r="CR7">
        <v>236.999</v>
      </c>
      <c r="CU7">
        <v>128.999</v>
      </c>
      <c r="CW7">
        <v>71.998999999999995</v>
      </c>
      <c r="DA7">
        <v>102.999</v>
      </c>
      <c r="DC7">
        <v>127.999</v>
      </c>
      <c r="DD7">
        <v>122.999</v>
      </c>
      <c r="DL7">
        <v>202.999</v>
      </c>
      <c r="DU7">
        <v>58.999000000000002</v>
      </c>
      <c r="EB7">
        <v>264.99900000000002</v>
      </c>
      <c r="EF7" s="3">
        <f t="shared" si="0"/>
        <v>0.19791666666666666</v>
      </c>
    </row>
    <row r="8" spans="1:136" x14ac:dyDescent="0.25">
      <c r="A8" s="1">
        <v>7712</v>
      </c>
      <c r="B8" t="s">
        <v>225</v>
      </c>
      <c r="C8" t="s">
        <v>166</v>
      </c>
      <c r="D8" t="s">
        <v>292</v>
      </c>
      <c r="G8">
        <v>412.96350000000001</v>
      </c>
      <c r="H8">
        <v>9.5060000000000002</v>
      </c>
      <c r="I8" t="s">
        <v>379</v>
      </c>
      <c r="K8" t="s">
        <v>228</v>
      </c>
      <c r="L8" t="s">
        <v>137</v>
      </c>
      <c r="M8">
        <v>24.425000000000001</v>
      </c>
      <c r="N8">
        <v>182.09</v>
      </c>
      <c r="O8">
        <v>-1</v>
      </c>
      <c r="P8">
        <v>1</v>
      </c>
      <c r="Q8">
        <v>12</v>
      </c>
      <c r="R8">
        <v>99.6</v>
      </c>
      <c r="T8" t="b">
        <v>0</v>
      </c>
      <c r="U8" t="s">
        <v>240</v>
      </c>
      <c r="V8">
        <v>413</v>
      </c>
      <c r="W8">
        <v>-3.6499999999989499E-2</v>
      </c>
      <c r="X8">
        <v>412.98987815910601</v>
      </c>
      <c r="Y8">
        <v>413</v>
      </c>
      <c r="Z8">
        <v>-1.01218408941008E-2</v>
      </c>
      <c r="AA8">
        <v>37</v>
      </c>
      <c r="AB8">
        <v>14</v>
      </c>
      <c r="AC8">
        <v>4</v>
      </c>
      <c r="AD8" t="b">
        <v>1</v>
      </c>
      <c r="AE8" t="s">
        <v>142</v>
      </c>
      <c r="AF8" t="s">
        <v>165</v>
      </c>
      <c r="AG8" t="b">
        <v>0</v>
      </c>
      <c r="AH8" t="b">
        <v>1</v>
      </c>
      <c r="AI8" t="b">
        <v>1</v>
      </c>
      <c r="AJ8" t="b">
        <v>0</v>
      </c>
      <c r="AK8" t="s">
        <v>225</v>
      </c>
      <c r="AL8" t="s">
        <v>228</v>
      </c>
      <c r="AR8" t="b">
        <v>1</v>
      </c>
      <c r="AS8">
        <v>7712</v>
      </c>
      <c r="AU8">
        <v>180.999</v>
      </c>
      <c r="DH8">
        <v>118.999</v>
      </c>
      <c r="DM8">
        <v>64.998999999999995</v>
      </c>
      <c r="EB8">
        <v>98.998999999999995</v>
      </c>
      <c r="EF8" s="3">
        <f t="shared" si="0"/>
        <v>4.1666666666666664E-2</v>
      </c>
    </row>
    <row r="9" spans="1:136" x14ac:dyDescent="0.25">
      <c r="A9" s="1">
        <v>2318</v>
      </c>
      <c r="B9" t="s">
        <v>237</v>
      </c>
      <c r="C9" t="s">
        <v>192</v>
      </c>
      <c r="D9" t="s">
        <v>263</v>
      </c>
      <c r="G9">
        <v>514.92240000000004</v>
      </c>
      <c r="H9">
        <v>10.638</v>
      </c>
      <c r="I9" t="s">
        <v>379</v>
      </c>
      <c r="K9" t="s">
        <v>239</v>
      </c>
      <c r="L9" t="s">
        <v>137</v>
      </c>
      <c r="M9">
        <v>23.212</v>
      </c>
      <c r="N9">
        <v>172</v>
      </c>
      <c r="O9">
        <v>-1</v>
      </c>
      <c r="P9">
        <v>1</v>
      </c>
      <c r="Q9">
        <v>34</v>
      </c>
      <c r="R9">
        <v>99.5</v>
      </c>
      <c r="T9" t="b">
        <v>0</v>
      </c>
      <c r="U9" t="s">
        <v>240</v>
      </c>
      <c r="V9">
        <v>515</v>
      </c>
      <c r="W9">
        <v>-7.7599999999961297E-2</v>
      </c>
      <c r="X9">
        <v>514.955290812371</v>
      </c>
      <c r="Y9">
        <v>515</v>
      </c>
      <c r="Z9">
        <v>-4.4709187629450801E-2</v>
      </c>
      <c r="AA9">
        <v>34</v>
      </c>
      <c r="AB9">
        <v>9</v>
      </c>
      <c r="AC9">
        <v>3</v>
      </c>
      <c r="AD9" t="b">
        <v>1</v>
      </c>
      <c r="AE9" t="s">
        <v>142</v>
      </c>
      <c r="AF9" t="s">
        <v>143</v>
      </c>
      <c r="AG9" t="b">
        <v>0</v>
      </c>
      <c r="AH9" t="b">
        <v>1</v>
      </c>
      <c r="AI9" t="b">
        <v>1</v>
      </c>
      <c r="AJ9" t="b">
        <v>0</v>
      </c>
      <c r="AK9" t="s">
        <v>237</v>
      </c>
      <c r="AL9" t="s">
        <v>239</v>
      </c>
      <c r="AR9" t="b">
        <v>1</v>
      </c>
      <c r="AS9">
        <v>2318</v>
      </c>
      <c r="AW9">
        <v>220.02629999999999</v>
      </c>
      <c r="BI9">
        <v>239.02629999999999</v>
      </c>
      <c r="BY9">
        <v>113.02630000000001</v>
      </c>
      <c r="CF9">
        <v>324.02629999999999</v>
      </c>
      <c r="EF9" s="3">
        <f t="shared" si="0"/>
        <v>4.1666666666666664E-2</v>
      </c>
    </row>
    <row r="10" spans="1:136" x14ac:dyDescent="0.25">
      <c r="A10" s="1">
        <v>6811</v>
      </c>
      <c r="B10" t="s">
        <v>237</v>
      </c>
      <c r="C10" t="s">
        <v>145</v>
      </c>
      <c r="D10" t="s">
        <v>283</v>
      </c>
      <c r="G10">
        <v>480.96789999999999</v>
      </c>
      <c r="H10">
        <v>10.542</v>
      </c>
      <c r="I10" t="s">
        <v>379</v>
      </c>
      <c r="K10" t="s">
        <v>239</v>
      </c>
      <c r="L10" t="s">
        <v>137</v>
      </c>
      <c r="M10">
        <v>22.343</v>
      </c>
      <c r="N10">
        <v>165.79</v>
      </c>
      <c r="O10">
        <v>-1</v>
      </c>
      <c r="P10">
        <v>1</v>
      </c>
      <c r="Q10">
        <v>17</v>
      </c>
      <c r="R10">
        <v>99.4</v>
      </c>
      <c r="T10" t="b">
        <v>0</v>
      </c>
      <c r="U10" t="s">
        <v>240</v>
      </c>
      <c r="V10">
        <v>481</v>
      </c>
      <c r="W10">
        <v>-3.2100000000013999E-2</v>
      </c>
      <c r="X10">
        <v>480.99862195918303</v>
      </c>
      <c r="Y10">
        <v>481</v>
      </c>
      <c r="Z10">
        <v>-1.3780408171442E-3</v>
      </c>
      <c r="AA10">
        <v>32</v>
      </c>
      <c r="AB10">
        <v>10</v>
      </c>
      <c r="AC10">
        <v>4</v>
      </c>
      <c r="AD10" t="b">
        <v>1</v>
      </c>
      <c r="AE10" t="s">
        <v>142</v>
      </c>
      <c r="AF10" t="s">
        <v>143</v>
      </c>
      <c r="AG10" t="b">
        <v>0</v>
      </c>
      <c r="AH10" t="b">
        <v>1</v>
      </c>
      <c r="AI10" t="b">
        <v>1</v>
      </c>
      <c r="AJ10" t="b">
        <v>0</v>
      </c>
      <c r="AK10" t="s">
        <v>237</v>
      </c>
      <c r="AL10" t="s">
        <v>239</v>
      </c>
      <c r="AR10" t="b">
        <v>1</v>
      </c>
      <c r="AS10">
        <v>6811</v>
      </c>
      <c r="BC10">
        <v>116.8349</v>
      </c>
      <c r="CC10">
        <v>66.834950000000006</v>
      </c>
      <c r="CU10">
        <v>83.834950000000006</v>
      </c>
      <c r="EF10" s="3">
        <f t="shared" si="0"/>
        <v>3.125E-2</v>
      </c>
    </row>
    <row r="11" spans="1:136" x14ac:dyDescent="0.25">
      <c r="A11" s="1">
        <v>2216</v>
      </c>
      <c r="B11" t="s">
        <v>237</v>
      </c>
      <c r="C11" t="s">
        <v>248</v>
      </c>
      <c r="D11" t="s">
        <v>262</v>
      </c>
      <c r="G11">
        <v>281.04289999999997</v>
      </c>
      <c r="H11">
        <v>2.9740000000000002</v>
      </c>
      <c r="I11" t="s">
        <v>379</v>
      </c>
      <c r="K11" t="s">
        <v>239</v>
      </c>
      <c r="L11" t="s">
        <v>137</v>
      </c>
      <c r="M11">
        <v>20.286999999999999</v>
      </c>
      <c r="N11">
        <v>153.5</v>
      </c>
      <c r="O11">
        <v>-1</v>
      </c>
      <c r="P11">
        <v>1</v>
      </c>
      <c r="Q11">
        <v>42</v>
      </c>
      <c r="R11">
        <v>99.8</v>
      </c>
      <c r="T11" t="b">
        <v>0</v>
      </c>
      <c r="U11" t="s">
        <v>240</v>
      </c>
      <c r="V11">
        <v>281</v>
      </c>
      <c r="W11">
        <v>4.2899999999974597E-2</v>
      </c>
      <c r="X11">
        <v>281.06085169387097</v>
      </c>
      <c r="Y11">
        <v>281</v>
      </c>
      <c r="Z11">
        <v>6.0851693870688499E-2</v>
      </c>
      <c r="AA11">
        <v>43</v>
      </c>
      <c r="AB11">
        <v>16</v>
      </c>
      <c r="AC11">
        <v>3</v>
      </c>
      <c r="AD11" t="b">
        <v>1</v>
      </c>
      <c r="AE11" t="s">
        <v>142</v>
      </c>
      <c r="AF11" t="s">
        <v>143</v>
      </c>
      <c r="AG11" t="b">
        <v>0</v>
      </c>
      <c r="AH11" t="b">
        <v>1</v>
      </c>
      <c r="AI11" t="b">
        <v>1</v>
      </c>
      <c r="AJ11" t="b">
        <v>0</v>
      </c>
      <c r="AK11" t="s">
        <v>237</v>
      </c>
      <c r="AL11" t="s">
        <v>239</v>
      </c>
      <c r="AR11" t="b">
        <v>1</v>
      </c>
      <c r="AS11">
        <v>2216</v>
      </c>
      <c r="BO11">
        <v>18.87932</v>
      </c>
      <c r="CU11">
        <v>99.879320000000007</v>
      </c>
      <c r="EF11" s="3">
        <f t="shared" si="0"/>
        <v>2.0833333333333332E-2</v>
      </c>
    </row>
    <row r="12" spans="1:136" x14ac:dyDescent="0.25">
      <c r="A12" s="1">
        <v>1559</v>
      </c>
      <c r="B12" t="s">
        <v>225</v>
      </c>
      <c r="C12" t="s">
        <v>193</v>
      </c>
      <c r="D12" t="s">
        <v>254</v>
      </c>
      <c r="E12" t="s">
        <v>195</v>
      </c>
      <c r="F12" t="s">
        <v>196</v>
      </c>
      <c r="G12">
        <v>662.94849999999997</v>
      </c>
      <c r="H12">
        <v>12.965</v>
      </c>
      <c r="I12" t="s">
        <v>379</v>
      </c>
      <c r="J12" t="s">
        <v>137</v>
      </c>
      <c r="K12" t="s">
        <v>228</v>
      </c>
      <c r="L12" t="s">
        <v>137</v>
      </c>
      <c r="M12">
        <v>30.48</v>
      </c>
      <c r="N12">
        <v>224.53</v>
      </c>
      <c r="O12">
        <v>-1</v>
      </c>
      <c r="P12">
        <v>2</v>
      </c>
      <c r="Q12">
        <v>59</v>
      </c>
      <c r="R12">
        <v>100</v>
      </c>
      <c r="T12" t="b">
        <v>0</v>
      </c>
      <c r="U12" t="s">
        <v>255</v>
      </c>
      <c r="V12">
        <v>663</v>
      </c>
      <c r="W12">
        <v>-5.15000000000327E-2</v>
      </c>
      <c r="X12">
        <v>662.99084602092398</v>
      </c>
      <c r="Y12">
        <v>663</v>
      </c>
      <c r="Z12">
        <v>-9.1539790756769001E-3</v>
      </c>
      <c r="AA12">
        <v>36</v>
      </c>
      <c r="AB12">
        <v>19</v>
      </c>
      <c r="AC12">
        <v>3</v>
      </c>
      <c r="AD12" t="b">
        <v>1</v>
      </c>
      <c r="AE12" t="s">
        <v>142</v>
      </c>
      <c r="AF12" t="s">
        <v>143</v>
      </c>
      <c r="AG12" t="b">
        <v>0</v>
      </c>
      <c r="AH12" t="b">
        <v>1</v>
      </c>
      <c r="AI12" t="b">
        <v>1</v>
      </c>
      <c r="AJ12" t="b">
        <v>1</v>
      </c>
      <c r="AK12" t="s">
        <v>225</v>
      </c>
      <c r="AL12" t="s">
        <v>228</v>
      </c>
      <c r="AR12" t="b">
        <v>1</v>
      </c>
      <c r="AS12">
        <v>1559</v>
      </c>
      <c r="BE12">
        <v>131.60570000000001</v>
      </c>
      <c r="CU12">
        <v>253.60570000000001</v>
      </c>
      <c r="EF12" s="3">
        <f t="shared" si="0"/>
        <v>2.0833333333333332E-2</v>
      </c>
    </row>
    <row r="13" spans="1:136" x14ac:dyDescent="0.25">
      <c r="A13" s="1">
        <v>745</v>
      </c>
      <c r="B13" t="s">
        <v>230</v>
      </c>
      <c r="C13" t="s">
        <v>181</v>
      </c>
      <c r="D13" t="s">
        <v>227</v>
      </c>
      <c r="E13" t="s">
        <v>136</v>
      </c>
      <c r="G13">
        <v>498.92790000000002</v>
      </c>
      <c r="H13">
        <v>9.9039999999999999</v>
      </c>
      <c r="I13" t="s">
        <v>379</v>
      </c>
      <c r="J13" t="s">
        <v>137</v>
      </c>
      <c r="K13" t="s">
        <v>231</v>
      </c>
      <c r="L13" t="s">
        <v>137</v>
      </c>
      <c r="M13">
        <v>22.03</v>
      </c>
      <c r="N13">
        <v>163.35</v>
      </c>
      <c r="O13">
        <v>-1</v>
      </c>
      <c r="P13">
        <v>2</v>
      </c>
      <c r="Q13">
        <v>76</v>
      </c>
      <c r="R13">
        <v>100</v>
      </c>
      <c r="T13" t="b">
        <v>0</v>
      </c>
      <c r="U13" t="s">
        <v>229</v>
      </c>
      <c r="V13">
        <v>499</v>
      </c>
      <c r="W13">
        <v>-7.2099999999977599E-2</v>
      </c>
      <c r="X13">
        <v>498.95976915920801</v>
      </c>
      <c r="Y13">
        <v>499</v>
      </c>
      <c r="Z13">
        <v>-4.0230840792048597E-2</v>
      </c>
      <c r="AA13">
        <v>32</v>
      </c>
      <c r="AB13">
        <v>0</v>
      </c>
      <c r="AC13">
        <v>0</v>
      </c>
      <c r="AD13" t="b">
        <v>1</v>
      </c>
      <c r="AG13" t="b">
        <v>0</v>
      </c>
      <c r="AH13" t="b">
        <v>0</v>
      </c>
      <c r="AI13" t="b">
        <v>0</v>
      </c>
      <c r="AJ13" t="b">
        <v>1</v>
      </c>
      <c r="AK13" t="s">
        <v>230</v>
      </c>
      <c r="AL13" t="s">
        <v>231</v>
      </c>
      <c r="AR13" t="b">
        <v>1</v>
      </c>
      <c r="AS13">
        <v>745</v>
      </c>
      <c r="BF13">
        <v>60.418170000000003</v>
      </c>
      <c r="EF13" s="3">
        <f t="shared" si="0"/>
        <v>1.0416666666666666E-2</v>
      </c>
    </row>
    <row r="14" spans="1:136" x14ac:dyDescent="0.25">
      <c r="A14" s="1">
        <v>5135</v>
      </c>
      <c r="B14" t="s">
        <v>237</v>
      </c>
      <c r="C14" t="s">
        <v>192</v>
      </c>
      <c r="D14" t="s">
        <v>280</v>
      </c>
      <c r="G14">
        <v>448.96550000000002</v>
      </c>
      <c r="H14">
        <v>10.999000000000001</v>
      </c>
      <c r="I14" t="s">
        <v>379</v>
      </c>
      <c r="K14" t="s">
        <v>239</v>
      </c>
      <c r="L14" t="s">
        <v>137</v>
      </c>
      <c r="M14">
        <v>23.263000000000002</v>
      </c>
      <c r="N14">
        <v>173.02</v>
      </c>
      <c r="O14">
        <v>-1</v>
      </c>
      <c r="P14">
        <v>1</v>
      </c>
      <c r="Q14">
        <v>13</v>
      </c>
      <c r="R14">
        <v>95.2</v>
      </c>
      <c r="T14" t="b">
        <v>0</v>
      </c>
      <c r="U14" t="s">
        <v>240</v>
      </c>
      <c r="V14">
        <v>449</v>
      </c>
      <c r="W14">
        <v>-3.4499999999979998E-2</v>
      </c>
      <c r="X14">
        <v>448.99417779692902</v>
      </c>
      <c r="Y14">
        <v>449</v>
      </c>
      <c r="Z14">
        <v>-5.8222030710907997E-3</v>
      </c>
      <c r="AA14">
        <v>38</v>
      </c>
      <c r="AB14">
        <v>9</v>
      </c>
      <c r="AC14">
        <v>3</v>
      </c>
      <c r="AD14" t="b">
        <v>1</v>
      </c>
      <c r="AE14" t="s">
        <v>142</v>
      </c>
      <c r="AF14" t="s">
        <v>143</v>
      </c>
      <c r="AG14" t="b">
        <v>0</v>
      </c>
      <c r="AH14" t="b">
        <v>1</v>
      </c>
      <c r="AI14" t="b">
        <v>1</v>
      </c>
      <c r="AJ14" t="b">
        <v>0</v>
      </c>
      <c r="AK14" t="s">
        <v>237</v>
      </c>
      <c r="AL14" t="s">
        <v>239</v>
      </c>
      <c r="AR14" t="b">
        <v>1</v>
      </c>
      <c r="AS14">
        <v>5135</v>
      </c>
      <c r="ED14">
        <v>280.99900000000002</v>
      </c>
      <c r="EF14" s="3">
        <f t="shared" si="0"/>
        <v>1.0416666666666666E-2</v>
      </c>
    </row>
    <row r="15" spans="1:136" x14ac:dyDescent="0.25">
      <c r="A15" s="1">
        <v>567</v>
      </c>
      <c r="B15" t="s">
        <v>225</v>
      </c>
      <c r="C15" t="s">
        <v>134</v>
      </c>
      <c r="D15" t="s">
        <v>244</v>
      </c>
      <c r="E15" t="s">
        <v>150</v>
      </c>
      <c r="G15">
        <v>598.92129999999997</v>
      </c>
      <c r="H15">
        <v>11.592000000000001</v>
      </c>
      <c r="I15" t="s">
        <v>358</v>
      </c>
      <c r="J15" t="s">
        <v>137</v>
      </c>
      <c r="K15" t="s">
        <v>228</v>
      </c>
      <c r="L15" t="s">
        <v>137</v>
      </c>
      <c r="M15">
        <v>24.777000000000001</v>
      </c>
      <c r="N15">
        <v>182.91</v>
      </c>
      <c r="O15">
        <v>-1</v>
      </c>
      <c r="P15">
        <v>3</v>
      </c>
      <c r="Q15">
        <v>78</v>
      </c>
      <c r="R15">
        <v>99.1</v>
      </c>
      <c r="T15" t="b">
        <v>0</v>
      </c>
      <c r="U15" t="s">
        <v>245</v>
      </c>
      <c r="V15">
        <v>599</v>
      </c>
      <c r="W15">
        <v>-7.8700000000026193E-2</v>
      </c>
      <c r="X15">
        <v>598.95955626560999</v>
      </c>
      <c r="Y15">
        <v>599</v>
      </c>
      <c r="Z15">
        <v>-4.0443734389896201E-2</v>
      </c>
      <c r="AA15">
        <v>34</v>
      </c>
      <c r="AB15">
        <v>11</v>
      </c>
      <c r="AC15">
        <v>3</v>
      </c>
      <c r="AD15" t="b">
        <v>1</v>
      </c>
      <c r="AE15" t="s">
        <v>142</v>
      </c>
      <c r="AF15" t="s">
        <v>143</v>
      </c>
      <c r="AG15" t="b">
        <v>0</v>
      </c>
      <c r="AH15" t="b">
        <v>1</v>
      </c>
      <c r="AI15" t="b">
        <v>1</v>
      </c>
      <c r="AJ15" t="b">
        <v>1</v>
      </c>
      <c r="AK15" t="s">
        <v>225</v>
      </c>
      <c r="AL15" t="s">
        <v>228</v>
      </c>
      <c r="AR15" t="b">
        <v>1</v>
      </c>
      <c r="AS15">
        <v>567</v>
      </c>
      <c r="AU15">
        <v>926.59029999999996</v>
      </c>
      <c r="AW15">
        <v>875.59029999999996</v>
      </c>
      <c r="BA15">
        <v>120.5903</v>
      </c>
      <c r="BC15">
        <v>229.59030000000001</v>
      </c>
      <c r="BI15">
        <v>606.59029999999996</v>
      </c>
      <c r="BJ15">
        <v>173.59030000000001</v>
      </c>
      <c r="BL15">
        <v>107.59031640000001</v>
      </c>
      <c r="BM15">
        <v>461.59030000000001</v>
      </c>
      <c r="BT15">
        <v>45.590319999999998</v>
      </c>
      <c r="BX15">
        <v>48.590319999999998</v>
      </c>
      <c r="BY15">
        <v>383.59030000000001</v>
      </c>
      <c r="CE15">
        <v>728.59029999999996</v>
      </c>
      <c r="CF15">
        <v>827.59029999999996</v>
      </c>
      <c r="CO15">
        <v>128.59030000000001</v>
      </c>
      <c r="CQ15">
        <v>362.59030000000001</v>
      </c>
      <c r="CR15">
        <v>547.59029999999996</v>
      </c>
      <c r="CS15">
        <v>155.59030000000001</v>
      </c>
      <c r="CT15">
        <v>256.59030000000001</v>
      </c>
      <c r="CU15">
        <v>1072.5899999999999</v>
      </c>
      <c r="CV15">
        <v>398.59030000000001</v>
      </c>
      <c r="CW15">
        <v>24.590319999999998</v>
      </c>
      <c r="DA15">
        <v>117.5903</v>
      </c>
      <c r="DC15">
        <v>356.59030000000001</v>
      </c>
      <c r="DD15">
        <v>150.59030000000001</v>
      </c>
      <c r="DJ15">
        <v>249.59030000000001</v>
      </c>
      <c r="DL15">
        <v>807.59029999999996</v>
      </c>
      <c r="DM15">
        <v>106.5903</v>
      </c>
      <c r="DT15">
        <v>176.59030000000001</v>
      </c>
      <c r="DX15">
        <v>61.590319999999998</v>
      </c>
      <c r="DZ15">
        <v>301.59030000000001</v>
      </c>
      <c r="EB15">
        <v>219.59030000000001</v>
      </c>
      <c r="ED15">
        <v>439.59030000000001</v>
      </c>
      <c r="EF15" s="3">
        <f t="shared" si="0"/>
        <v>0.33333333333333331</v>
      </c>
    </row>
    <row r="16" spans="1:136" x14ac:dyDescent="0.25">
      <c r="A16" s="1">
        <v>5900</v>
      </c>
      <c r="B16" t="s">
        <v>230</v>
      </c>
      <c r="C16" t="s">
        <v>181</v>
      </c>
      <c r="D16" t="s">
        <v>244</v>
      </c>
      <c r="E16" t="s">
        <v>150</v>
      </c>
      <c r="G16">
        <v>598.91989999999998</v>
      </c>
      <c r="H16">
        <v>11.435</v>
      </c>
      <c r="I16" t="s">
        <v>358</v>
      </c>
      <c r="J16" t="s">
        <v>137</v>
      </c>
      <c r="K16" t="s">
        <v>231</v>
      </c>
      <c r="L16" t="s">
        <v>137</v>
      </c>
      <c r="M16">
        <v>24.474</v>
      </c>
      <c r="N16">
        <v>180.7</v>
      </c>
      <c r="O16">
        <v>-1</v>
      </c>
      <c r="P16">
        <v>1</v>
      </c>
      <c r="Q16">
        <v>20</v>
      </c>
      <c r="R16">
        <v>77.7</v>
      </c>
      <c r="T16" t="b">
        <v>0</v>
      </c>
      <c r="U16" t="s">
        <v>245</v>
      </c>
      <c r="V16">
        <v>599</v>
      </c>
      <c r="W16">
        <v>-8.0100000000015797E-2</v>
      </c>
      <c r="X16">
        <v>598.95815617618496</v>
      </c>
      <c r="Y16">
        <v>599</v>
      </c>
      <c r="Z16">
        <v>-4.1843823815270298E-2</v>
      </c>
      <c r="AA16">
        <v>33</v>
      </c>
      <c r="AB16">
        <v>0</v>
      </c>
      <c r="AC16">
        <v>0</v>
      </c>
      <c r="AD16" t="b">
        <v>1</v>
      </c>
      <c r="AG16" t="b">
        <v>0</v>
      </c>
      <c r="AH16" t="b">
        <v>0</v>
      </c>
      <c r="AI16" t="b">
        <v>0</v>
      </c>
      <c r="AJ16" t="b">
        <v>1</v>
      </c>
      <c r="AK16" t="s">
        <v>230</v>
      </c>
      <c r="AL16" t="s">
        <v>231</v>
      </c>
      <c r="AR16" t="b">
        <v>1</v>
      </c>
      <c r="AS16">
        <v>5900</v>
      </c>
      <c r="BD16">
        <v>69.595479999999995</v>
      </c>
      <c r="CK16">
        <v>70.595479999999995</v>
      </c>
      <c r="CM16">
        <v>91.595479999999995</v>
      </c>
      <c r="CN16">
        <v>91.595479999999995</v>
      </c>
      <c r="DI16">
        <v>87.595478999999997</v>
      </c>
      <c r="EF16" s="3">
        <f t="shared" si="0"/>
        <v>5.2083333333333336E-2</v>
      </c>
    </row>
    <row r="17" spans="1:136" x14ac:dyDescent="0.25">
      <c r="A17" s="1">
        <v>2794</v>
      </c>
      <c r="B17" t="s">
        <v>225</v>
      </c>
      <c r="C17" t="s">
        <v>134</v>
      </c>
      <c r="D17" t="s">
        <v>251</v>
      </c>
      <c r="E17" t="s">
        <v>174</v>
      </c>
      <c r="G17">
        <v>548.92280000000005</v>
      </c>
      <c r="H17">
        <v>10.914999999999999</v>
      </c>
      <c r="I17" t="s">
        <v>357</v>
      </c>
      <c r="J17" t="s">
        <v>137</v>
      </c>
      <c r="K17" t="s">
        <v>228</v>
      </c>
      <c r="L17" t="s">
        <v>137</v>
      </c>
      <c r="M17">
        <v>23.513999999999999</v>
      </c>
      <c r="N17">
        <v>173.96</v>
      </c>
      <c r="O17">
        <v>-1</v>
      </c>
      <c r="P17">
        <v>1</v>
      </c>
      <c r="Q17">
        <v>30</v>
      </c>
      <c r="R17">
        <v>95.3</v>
      </c>
      <c r="T17" t="b">
        <v>0</v>
      </c>
      <c r="U17" t="s">
        <v>252</v>
      </c>
      <c r="V17">
        <v>549</v>
      </c>
      <c r="W17">
        <v>-7.7199999999948005E-2</v>
      </c>
      <c r="X17">
        <v>548.95786259743397</v>
      </c>
      <c r="Y17">
        <v>549</v>
      </c>
      <c r="Z17">
        <v>-4.2137402566368103E-2</v>
      </c>
      <c r="AA17">
        <v>34</v>
      </c>
      <c r="AB17">
        <v>11</v>
      </c>
      <c r="AC17">
        <v>3</v>
      </c>
      <c r="AD17" t="b">
        <v>1</v>
      </c>
      <c r="AE17" t="s">
        <v>142</v>
      </c>
      <c r="AF17" t="s">
        <v>165</v>
      </c>
      <c r="AG17" t="b">
        <v>0</v>
      </c>
      <c r="AH17" t="b">
        <v>1</v>
      </c>
      <c r="AI17" t="b">
        <v>1</v>
      </c>
      <c r="AJ17" t="b">
        <v>1</v>
      </c>
      <c r="AK17" t="s">
        <v>225</v>
      </c>
      <c r="AL17" t="s">
        <v>228</v>
      </c>
      <c r="AR17" t="b">
        <v>1</v>
      </c>
      <c r="AS17">
        <v>2794</v>
      </c>
      <c r="AU17">
        <v>318.99900000000002</v>
      </c>
      <c r="BA17">
        <v>368.99900000000002</v>
      </c>
      <c r="BE17">
        <v>325.99900000000002</v>
      </c>
      <c r="BL17">
        <v>223.999</v>
      </c>
      <c r="BO17">
        <v>139.999</v>
      </c>
      <c r="BP17">
        <v>215.999</v>
      </c>
      <c r="BS17">
        <v>76.998999999999995</v>
      </c>
      <c r="BT17">
        <v>213.999</v>
      </c>
      <c r="BV17">
        <v>63.999000000000002</v>
      </c>
      <c r="BY17">
        <v>371.99900000000002</v>
      </c>
      <c r="CB17">
        <v>117.999</v>
      </c>
      <c r="CC17">
        <v>131.999</v>
      </c>
      <c r="CD17">
        <v>137.999</v>
      </c>
      <c r="CG17">
        <v>62.999000000000002</v>
      </c>
      <c r="CH17">
        <v>337.99900000000002</v>
      </c>
      <c r="CI17">
        <v>178.999</v>
      </c>
      <c r="CS17">
        <v>299.99900000000002</v>
      </c>
      <c r="CY17">
        <v>178.999</v>
      </c>
      <c r="DB17">
        <v>92.998999999999995</v>
      </c>
      <c r="DE17">
        <v>175.999</v>
      </c>
      <c r="DM17">
        <v>283.99900000000002</v>
      </c>
      <c r="DN17">
        <v>252.999</v>
      </c>
      <c r="DU17">
        <v>266.99900000000002</v>
      </c>
      <c r="EA17">
        <v>68.998999999999995</v>
      </c>
      <c r="ED17">
        <v>306.99900000000002</v>
      </c>
      <c r="EE17">
        <v>165.999</v>
      </c>
      <c r="EF17" s="3">
        <f t="shared" si="0"/>
        <v>0.27083333333333331</v>
      </c>
    </row>
    <row r="18" spans="1:136" x14ac:dyDescent="0.25">
      <c r="A18" s="1">
        <v>1428</v>
      </c>
      <c r="B18" t="s">
        <v>225</v>
      </c>
      <c r="C18" t="s">
        <v>226</v>
      </c>
      <c r="D18" t="s">
        <v>251</v>
      </c>
      <c r="E18" t="s">
        <v>174</v>
      </c>
      <c r="G18">
        <v>548.92520000000002</v>
      </c>
      <c r="H18">
        <v>10.94</v>
      </c>
      <c r="I18" t="s">
        <v>357</v>
      </c>
      <c r="J18" t="s">
        <v>137</v>
      </c>
      <c r="K18" t="s">
        <v>228</v>
      </c>
      <c r="L18" t="s">
        <v>137</v>
      </c>
      <c r="M18">
        <v>23.57</v>
      </c>
      <c r="N18">
        <v>174.35</v>
      </c>
      <c r="O18">
        <v>-1</v>
      </c>
      <c r="P18">
        <v>2</v>
      </c>
      <c r="Q18">
        <v>35</v>
      </c>
      <c r="R18">
        <v>98.5</v>
      </c>
      <c r="T18" t="b">
        <v>0</v>
      </c>
      <c r="U18" t="s">
        <v>252</v>
      </c>
      <c r="V18">
        <v>549</v>
      </c>
      <c r="W18">
        <v>-7.4799999999982006E-2</v>
      </c>
      <c r="X18">
        <v>548.96026275073405</v>
      </c>
      <c r="Y18">
        <v>549</v>
      </c>
      <c r="Z18">
        <v>-3.9737249265726901E-2</v>
      </c>
      <c r="AA18">
        <v>31</v>
      </c>
      <c r="AB18">
        <v>15</v>
      </c>
      <c r="AC18">
        <v>2</v>
      </c>
      <c r="AD18" t="b">
        <v>1</v>
      </c>
      <c r="AE18" t="s">
        <v>142</v>
      </c>
      <c r="AF18" t="s">
        <v>143</v>
      </c>
      <c r="AG18" t="b">
        <v>0</v>
      </c>
      <c r="AH18" t="b">
        <v>1</v>
      </c>
      <c r="AI18" t="b">
        <v>0</v>
      </c>
      <c r="AJ18" t="b">
        <v>1</v>
      </c>
      <c r="AK18" t="s">
        <v>225</v>
      </c>
      <c r="AL18" t="s">
        <v>228</v>
      </c>
      <c r="AR18" t="b">
        <v>1</v>
      </c>
      <c r="AS18">
        <v>1428</v>
      </c>
      <c r="AX18">
        <v>135.999</v>
      </c>
      <c r="BG18">
        <v>100.999</v>
      </c>
      <c r="BN18">
        <v>146.999</v>
      </c>
      <c r="CN18">
        <v>178.999</v>
      </c>
      <c r="DI18">
        <v>120.999</v>
      </c>
      <c r="DR18">
        <v>124.999</v>
      </c>
      <c r="DV18">
        <v>104.999</v>
      </c>
      <c r="DY18">
        <v>105.999</v>
      </c>
      <c r="DZ18">
        <v>600.99900000000002</v>
      </c>
      <c r="EB18">
        <v>456.99900000000002</v>
      </c>
      <c r="EF18" s="3">
        <f t="shared" si="0"/>
        <v>0.10416666666666667</v>
      </c>
    </row>
    <row r="19" spans="1:136" x14ac:dyDescent="0.25">
      <c r="A19" s="1">
        <v>3415</v>
      </c>
      <c r="B19" t="s">
        <v>230</v>
      </c>
      <c r="C19" t="s">
        <v>268</v>
      </c>
      <c r="D19" t="s">
        <v>227</v>
      </c>
      <c r="E19" t="s">
        <v>136</v>
      </c>
      <c r="G19">
        <v>498.92860000000002</v>
      </c>
      <c r="H19">
        <v>10.041</v>
      </c>
      <c r="I19" t="s">
        <v>356</v>
      </c>
      <c r="J19" t="s">
        <v>137</v>
      </c>
      <c r="K19" t="s">
        <v>231</v>
      </c>
      <c r="L19" t="s">
        <v>137</v>
      </c>
      <c r="M19">
        <v>21.945</v>
      </c>
      <c r="N19">
        <v>162.75</v>
      </c>
      <c r="O19">
        <v>-1</v>
      </c>
      <c r="P19">
        <v>1</v>
      </c>
      <c r="Q19">
        <v>30</v>
      </c>
      <c r="R19">
        <v>99.2</v>
      </c>
      <c r="T19" t="b">
        <v>0</v>
      </c>
      <c r="U19" t="s">
        <v>229</v>
      </c>
      <c r="V19">
        <v>499</v>
      </c>
      <c r="W19">
        <v>-7.1399999999982797E-2</v>
      </c>
      <c r="X19">
        <v>498.96046920392098</v>
      </c>
      <c r="Y19">
        <v>499</v>
      </c>
      <c r="Z19">
        <v>-3.9530796079361601E-2</v>
      </c>
      <c r="AA19">
        <v>28</v>
      </c>
      <c r="AB19">
        <v>2</v>
      </c>
      <c r="AC19">
        <v>2</v>
      </c>
      <c r="AD19" t="b">
        <v>1</v>
      </c>
      <c r="AE19" t="s">
        <v>142</v>
      </c>
      <c r="AF19" t="s">
        <v>143</v>
      </c>
      <c r="AG19" t="b">
        <v>0</v>
      </c>
      <c r="AH19" t="b">
        <v>1</v>
      </c>
      <c r="AI19" t="b">
        <v>0</v>
      </c>
      <c r="AJ19" t="b">
        <v>1</v>
      </c>
      <c r="AK19" t="s">
        <v>230</v>
      </c>
      <c r="AL19" t="s">
        <v>231</v>
      </c>
      <c r="AR19" t="b">
        <v>1</v>
      </c>
      <c r="AS19">
        <v>3415</v>
      </c>
      <c r="BN19">
        <v>182.4058</v>
      </c>
      <c r="BT19">
        <v>9.4057549999999992</v>
      </c>
      <c r="BU19">
        <v>42.405760000000001</v>
      </c>
      <c r="BW19">
        <v>138.4058</v>
      </c>
      <c r="BX19">
        <v>111.4058</v>
      </c>
      <c r="BY19">
        <v>183.4058</v>
      </c>
      <c r="CG19">
        <v>98.405760000000001</v>
      </c>
      <c r="CL19">
        <v>50.405755200000002</v>
      </c>
      <c r="CY19">
        <v>174.4058</v>
      </c>
      <c r="DF19">
        <v>149.4058</v>
      </c>
      <c r="DK19">
        <v>14.405760000000001</v>
      </c>
      <c r="DM19">
        <v>162.4058</v>
      </c>
      <c r="EF19" s="3">
        <f t="shared" si="0"/>
        <v>0.125</v>
      </c>
    </row>
    <row r="20" spans="1:136" x14ac:dyDescent="0.25">
      <c r="A20" s="1">
        <v>62</v>
      </c>
      <c r="B20" t="s">
        <v>230</v>
      </c>
      <c r="C20" t="s">
        <v>181</v>
      </c>
      <c r="D20" t="s">
        <v>227</v>
      </c>
      <c r="E20" t="s">
        <v>136</v>
      </c>
      <c r="G20">
        <v>498.9298</v>
      </c>
      <c r="H20">
        <v>10.23</v>
      </c>
      <c r="I20" t="s">
        <v>356</v>
      </c>
      <c r="J20" t="s">
        <v>137</v>
      </c>
      <c r="K20" t="s">
        <v>231</v>
      </c>
      <c r="L20" t="s">
        <v>137</v>
      </c>
      <c r="M20">
        <v>22.446999999999999</v>
      </c>
      <c r="N20">
        <v>166.44</v>
      </c>
      <c r="O20">
        <v>-1</v>
      </c>
      <c r="P20">
        <v>4</v>
      </c>
      <c r="Q20">
        <v>49</v>
      </c>
      <c r="R20">
        <v>100</v>
      </c>
      <c r="T20" t="b">
        <v>0</v>
      </c>
      <c r="U20" t="s">
        <v>229</v>
      </c>
      <c r="V20">
        <v>499</v>
      </c>
      <c r="W20">
        <v>-7.0199999999999804E-2</v>
      </c>
      <c r="X20">
        <v>498.96166928057102</v>
      </c>
      <c r="Y20">
        <v>499</v>
      </c>
      <c r="Z20">
        <v>-3.8330719429041003E-2</v>
      </c>
      <c r="AA20">
        <v>24</v>
      </c>
      <c r="AB20">
        <v>0</v>
      </c>
      <c r="AC20">
        <v>0</v>
      </c>
      <c r="AD20" t="b">
        <v>1</v>
      </c>
      <c r="AG20" t="b">
        <v>0</v>
      </c>
      <c r="AH20" t="b">
        <v>0</v>
      </c>
      <c r="AI20" t="b">
        <v>0</v>
      </c>
      <c r="AJ20" t="b">
        <v>1</v>
      </c>
      <c r="AK20" t="s">
        <v>230</v>
      </c>
      <c r="AL20" t="s">
        <v>231</v>
      </c>
      <c r="AR20" t="b">
        <v>1</v>
      </c>
      <c r="AS20">
        <v>62</v>
      </c>
      <c r="AV20">
        <v>602.63149999999996</v>
      </c>
      <c r="BB20">
        <v>504.63150000000002</v>
      </c>
      <c r="BG20">
        <v>6165.6310000000003</v>
      </c>
      <c r="BH20">
        <v>1088.6310000000001</v>
      </c>
      <c r="BO20">
        <v>1538.6310000000001</v>
      </c>
      <c r="BU20">
        <v>6551.6310000000003</v>
      </c>
      <c r="CA20">
        <v>391.63150000000002</v>
      </c>
      <c r="CC20">
        <v>62.631459999999997</v>
      </c>
      <c r="CN20">
        <v>825.63149999999996</v>
      </c>
      <c r="CZ20">
        <v>2713.6309999999999</v>
      </c>
      <c r="DY20">
        <v>8261.6309999999994</v>
      </c>
      <c r="EC20">
        <v>3907.6314554999999</v>
      </c>
      <c r="EF20" s="3">
        <f t="shared" si="0"/>
        <v>0.125</v>
      </c>
    </row>
    <row r="21" spans="1:136" x14ac:dyDescent="0.25">
      <c r="A21" s="1">
        <v>380</v>
      </c>
      <c r="B21" t="s">
        <v>225</v>
      </c>
      <c r="C21" t="s">
        <v>192</v>
      </c>
      <c r="D21" t="s">
        <v>227</v>
      </c>
      <c r="E21" t="s">
        <v>136</v>
      </c>
      <c r="G21">
        <v>498.93130000000002</v>
      </c>
      <c r="H21">
        <v>10.198</v>
      </c>
      <c r="I21" t="s">
        <v>356</v>
      </c>
      <c r="J21" t="s">
        <v>137</v>
      </c>
      <c r="K21" t="s">
        <v>228</v>
      </c>
      <c r="L21" t="s">
        <v>137</v>
      </c>
      <c r="M21">
        <v>22.154</v>
      </c>
      <c r="N21">
        <v>164.28</v>
      </c>
      <c r="O21">
        <v>-1</v>
      </c>
      <c r="P21">
        <v>3</v>
      </c>
      <c r="Q21">
        <v>12</v>
      </c>
      <c r="R21">
        <v>100</v>
      </c>
      <c r="T21" t="b">
        <v>0</v>
      </c>
      <c r="U21" t="s">
        <v>229</v>
      </c>
      <c r="V21">
        <v>499</v>
      </c>
      <c r="W21">
        <v>-6.8699999999978403E-2</v>
      </c>
      <c r="X21">
        <v>498.96316937638397</v>
      </c>
      <c r="Y21">
        <v>499</v>
      </c>
      <c r="Z21">
        <v>-3.6830623616083399E-2</v>
      </c>
      <c r="AA21">
        <v>32</v>
      </c>
      <c r="AB21">
        <v>9</v>
      </c>
      <c r="AC21">
        <v>4</v>
      </c>
      <c r="AD21" t="b">
        <v>1</v>
      </c>
      <c r="AE21" t="s">
        <v>142</v>
      </c>
      <c r="AF21" t="s">
        <v>143</v>
      </c>
      <c r="AG21" t="b">
        <v>0</v>
      </c>
      <c r="AH21" t="b">
        <v>1</v>
      </c>
      <c r="AI21" t="b">
        <v>1</v>
      </c>
      <c r="AJ21" t="b">
        <v>1</v>
      </c>
      <c r="AK21" t="s">
        <v>225</v>
      </c>
      <c r="AL21" t="s">
        <v>228</v>
      </c>
      <c r="AR21" t="b">
        <v>1</v>
      </c>
      <c r="AS21">
        <v>380</v>
      </c>
      <c r="BA21">
        <v>9363.84</v>
      </c>
      <c r="BI21">
        <v>73.839529999999996</v>
      </c>
      <c r="BV21">
        <v>2980.84</v>
      </c>
      <c r="CH21">
        <v>426.83949999999999</v>
      </c>
      <c r="CM21">
        <v>945.83950000000004</v>
      </c>
      <c r="DA21">
        <v>8801.84</v>
      </c>
      <c r="DI21">
        <v>7420.8395289999999</v>
      </c>
      <c r="DO21">
        <v>4318.8395289999999</v>
      </c>
      <c r="EF21" s="3">
        <f t="shared" si="0"/>
        <v>8.3333333333333329E-2</v>
      </c>
    </row>
    <row r="22" spans="1:136" x14ac:dyDescent="0.25">
      <c r="A22" s="1">
        <v>37</v>
      </c>
      <c r="B22" t="s">
        <v>225</v>
      </c>
      <c r="C22" t="s">
        <v>226</v>
      </c>
      <c r="D22" t="s">
        <v>227</v>
      </c>
      <c r="E22" t="s">
        <v>136</v>
      </c>
      <c r="G22">
        <v>498.93020000000001</v>
      </c>
      <c r="H22">
        <v>10.18</v>
      </c>
      <c r="I22" t="s">
        <v>356</v>
      </c>
      <c r="J22" t="s">
        <v>137</v>
      </c>
      <c r="K22" t="s">
        <v>228</v>
      </c>
      <c r="L22" t="s">
        <v>137</v>
      </c>
      <c r="M22">
        <v>22.31</v>
      </c>
      <c r="N22">
        <v>165.43</v>
      </c>
      <c r="O22">
        <v>-1</v>
      </c>
      <c r="P22">
        <v>4</v>
      </c>
      <c r="Q22">
        <v>91</v>
      </c>
      <c r="R22">
        <v>100</v>
      </c>
      <c r="T22" t="b">
        <v>0</v>
      </c>
      <c r="U22" t="s">
        <v>229</v>
      </c>
      <c r="V22">
        <v>499</v>
      </c>
      <c r="W22">
        <v>-6.9799999999986498E-2</v>
      </c>
      <c r="X22">
        <v>498.96206930612101</v>
      </c>
      <c r="Y22">
        <v>499</v>
      </c>
      <c r="Z22">
        <v>-3.7930693878934101E-2</v>
      </c>
      <c r="AA22">
        <v>31</v>
      </c>
      <c r="AB22">
        <v>15</v>
      </c>
      <c r="AC22">
        <v>2</v>
      </c>
      <c r="AD22" t="b">
        <v>1</v>
      </c>
      <c r="AE22" t="s">
        <v>142</v>
      </c>
      <c r="AF22" t="s">
        <v>143</v>
      </c>
      <c r="AG22" t="b">
        <v>0</v>
      </c>
      <c r="AH22" t="b">
        <v>1</v>
      </c>
      <c r="AI22" t="b">
        <v>0</v>
      </c>
      <c r="AJ22" t="b">
        <v>1</v>
      </c>
      <c r="AK22" t="s">
        <v>225</v>
      </c>
      <c r="AL22" t="s">
        <v>228</v>
      </c>
      <c r="AR22" t="b">
        <v>1</v>
      </c>
      <c r="AS22">
        <v>37</v>
      </c>
      <c r="AX22">
        <v>2325.2779999999998</v>
      </c>
      <c r="BC22">
        <v>7389.2780000000002</v>
      </c>
      <c r="CF22">
        <v>15780.28</v>
      </c>
      <c r="CR22">
        <v>14045.28</v>
      </c>
      <c r="CS22">
        <v>1164.278</v>
      </c>
      <c r="CU22">
        <v>13049.28</v>
      </c>
      <c r="DT22">
        <v>3309.2779999999998</v>
      </c>
      <c r="EF22" s="3">
        <f t="shared" si="0"/>
        <v>7.2916666666666671E-2</v>
      </c>
    </row>
    <row r="23" spans="1:136" x14ac:dyDescent="0.25">
      <c r="A23" s="1">
        <v>1672</v>
      </c>
      <c r="B23" t="s">
        <v>230</v>
      </c>
      <c r="C23" t="s">
        <v>181</v>
      </c>
      <c r="D23" t="s">
        <v>227</v>
      </c>
      <c r="E23" t="s">
        <v>136</v>
      </c>
      <c r="G23">
        <v>498.928</v>
      </c>
      <c r="H23">
        <v>10.311999999999999</v>
      </c>
      <c r="I23" t="s">
        <v>356</v>
      </c>
      <c r="J23" t="s">
        <v>137</v>
      </c>
      <c r="K23" t="s">
        <v>231</v>
      </c>
      <c r="L23" t="s">
        <v>137</v>
      </c>
      <c r="M23">
        <v>22.05</v>
      </c>
      <c r="N23">
        <v>163.51</v>
      </c>
      <c r="O23">
        <v>-1</v>
      </c>
      <c r="P23">
        <v>2</v>
      </c>
      <c r="Q23">
        <v>34</v>
      </c>
      <c r="R23">
        <v>82.8</v>
      </c>
      <c r="T23" t="b">
        <v>0</v>
      </c>
      <c r="U23" t="s">
        <v>229</v>
      </c>
      <c r="V23">
        <v>499</v>
      </c>
      <c r="W23">
        <v>-7.2000000000002701E-2</v>
      </c>
      <c r="X23">
        <v>498.95986916559502</v>
      </c>
      <c r="Y23">
        <v>499</v>
      </c>
      <c r="Z23">
        <v>-4.0130834404521899E-2</v>
      </c>
      <c r="AA23">
        <v>32</v>
      </c>
      <c r="AB23">
        <v>0</v>
      </c>
      <c r="AC23">
        <v>0</v>
      </c>
      <c r="AD23" t="b">
        <v>1</v>
      </c>
      <c r="AG23" t="b">
        <v>0</v>
      </c>
      <c r="AH23" t="b">
        <v>0</v>
      </c>
      <c r="AI23" t="b">
        <v>0</v>
      </c>
      <c r="AJ23" t="b">
        <v>1</v>
      </c>
      <c r="AK23" t="s">
        <v>230</v>
      </c>
      <c r="AL23" t="s">
        <v>231</v>
      </c>
      <c r="AR23" t="b">
        <v>1</v>
      </c>
      <c r="AS23">
        <v>1672</v>
      </c>
      <c r="BQ23">
        <v>279.73809999999997</v>
      </c>
      <c r="BR23">
        <v>147.7381</v>
      </c>
      <c r="CI23">
        <v>195.7381</v>
      </c>
      <c r="CX23">
        <v>267.7381163</v>
      </c>
      <c r="EF23" s="3">
        <f t="shared" si="0"/>
        <v>4.1666666666666664E-2</v>
      </c>
    </row>
    <row r="24" spans="1:136" x14ac:dyDescent="0.25">
      <c r="A24" s="1">
        <v>8280</v>
      </c>
      <c r="B24" t="s">
        <v>237</v>
      </c>
      <c r="C24" t="s">
        <v>134</v>
      </c>
      <c r="D24" t="s">
        <v>273</v>
      </c>
      <c r="G24">
        <v>580.95830000000001</v>
      </c>
      <c r="H24">
        <v>15.454000000000001</v>
      </c>
      <c r="I24" t="s">
        <v>349</v>
      </c>
      <c r="K24" t="s">
        <v>239</v>
      </c>
      <c r="L24" t="s">
        <v>137</v>
      </c>
      <c r="M24">
        <v>23.187999999999999</v>
      </c>
      <c r="N24">
        <v>171.29</v>
      </c>
      <c r="O24">
        <v>-1</v>
      </c>
      <c r="P24">
        <v>1</v>
      </c>
      <c r="Q24">
        <v>14</v>
      </c>
      <c r="R24">
        <v>75.8</v>
      </c>
      <c r="T24" t="b">
        <v>0</v>
      </c>
      <c r="U24" t="s">
        <v>240</v>
      </c>
      <c r="V24">
        <v>581</v>
      </c>
      <c r="W24">
        <v>-4.1699999999991598E-2</v>
      </c>
      <c r="X24">
        <v>580.99540887395904</v>
      </c>
      <c r="Y24">
        <v>581</v>
      </c>
      <c r="Z24">
        <v>-4.5911260407365002E-3</v>
      </c>
      <c r="AA24">
        <v>35</v>
      </c>
      <c r="AB24">
        <v>11</v>
      </c>
      <c r="AC24">
        <v>4</v>
      </c>
      <c r="AD24" t="b">
        <v>1</v>
      </c>
      <c r="AE24" t="s">
        <v>212</v>
      </c>
      <c r="AF24" t="s">
        <v>165</v>
      </c>
      <c r="AG24" t="b">
        <v>0</v>
      </c>
      <c r="AH24" t="b">
        <v>1</v>
      </c>
      <c r="AI24" t="b">
        <v>1</v>
      </c>
      <c r="AJ24" t="b">
        <v>0</v>
      </c>
      <c r="AK24" t="s">
        <v>237</v>
      </c>
      <c r="AL24" t="s">
        <v>239</v>
      </c>
      <c r="AR24" t="b">
        <v>1</v>
      </c>
      <c r="AS24">
        <v>8280</v>
      </c>
      <c r="BA24">
        <v>61.999000000000002</v>
      </c>
      <c r="BF24">
        <v>65.998999999999995</v>
      </c>
      <c r="CB24">
        <v>87.998999999999995</v>
      </c>
      <c r="CH24">
        <v>69.998999999999995</v>
      </c>
      <c r="CK24">
        <v>101.999</v>
      </c>
      <c r="CS24">
        <v>85.998999999999995</v>
      </c>
      <c r="CV24">
        <v>58.999000000000002</v>
      </c>
      <c r="DX24">
        <v>77.998999999999995</v>
      </c>
      <c r="EF24" s="3">
        <f t="shared" si="0"/>
        <v>8.3333333333333329E-2</v>
      </c>
    </row>
    <row r="25" spans="1:136" x14ac:dyDescent="0.25">
      <c r="A25" s="1">
        <v>3811</v>
      </c>
      <c r="B25" t="s">
        <v>237</v>
      </c>
      <c r="C25" t="s">
        <v>193</v>
      </c>
      <c r="D25" t="s">
        <v>270</v>
      </c>
      <c r="G25">
        <v>351.04930000000002</v>
      </c>
      <c r="H25">
        <v>10.946</v>
      </c>
      <c r="I25" t="s">
        <v>349</v>
      </c>
      <c r="K25" t="s">
        <v>239</v>
      </c>
      <c r="L25" t="s">
        <v>137</v>
      </c>
      <c r="M25">
        <v>22.135000000000002</v>
      </c>
      <c r="N25">
        <v>165.9</v>
      </c>
      <c r="O25">
        <v>-1</v>
      </c>
      <c r="P25">
        <v>1</v>
      </c>
      <c r="Q25">
        <v>23</v>
      </c>
      <c r="R25">
        <v>52.1</v>
      </c>
      <c r="T25" t="b">
        <v>0</v>
      </c>
      <c r="U25" t="s">
        <v>240</v>
      </c>
      <c r="V25">
        <v>351</v>
      </c>
      <c r="W25">
        <v>4.9300000000016601E-2</v>
      </c>
      <c r="X25">
        <v>351.07172337225802</v>
      </c>
      <c r="Y25">
        <v>351</v>
      </c>
      <c r="Z25">
        <v>7.1723372257906703E-2</v>
      </c>
      <c r="AA25">
        <v>34</v>
      </c>
      <c r="AB25">
        <v>19</v>
      </c>
      <c r="AC25">
        <v>3</v>
      </c>
      <c r="AD25" t="b">
        <v>1</v>
      </c>
      <c r="AE25" t="s">
        <v>142</v>
      </c>
      <c r="AF25" t="s">
        <v>143</v>
      </c>
      <c r="AG25" t="b">
        <v>0</v>
      </c>
      <c r="AH25" t="b">
        <v>1</v>
      </c>
      <c r="AI25" t="b">
        <v>1</v>
      </c>
      <c r="AJ25" t="b">
        <v>0</v>
      </c>
      <c r="AK25" t="s">
        <v>237</v>
      </c>
      <c r="AL25" t="s">
        <v>239</v>
      </c>
      <c r="AR25" t="b">
        <v>1</v>
      </c>
      <c r="AS25">
        <v>3811</v>
      </c>
      <c r="AV25">
        <v>45.43282</v>
      </c>
      <c r="BI25">
        <v>40.43282</v>
      </c>
      <c r="BJ25">
        <v>2.43282</v>
      </c>
      <c r="CH25">
        <v>18.43282</v>
      </c>
      <c r="DA25">
        <v>14.43282</v>
      </c>
      <c r="ED25">
        <v>44.43282</v>
      </c>
      <c r="EF25" s="3">
        <f t="shared" si="0"/>
        <v>6.25E-2</v>
      </c>
    </row>
    <row r="26" spans="1:136" x14ac:dyDescent="0.25">
      <c r="A26" s="1">
        <v>7436</v>
      </c>
      <c r="B26" t="s">
        <v>237</v>
      </c>
      <c r="C26" t="s">
        <v>166</v>
      </c>
      <c r="D26" t="s">
        <v>243</v>
      </c>
      <c r="G26">
        <v>794.94240000000002</v>
      </c>
      <c r="H26">
        <v>16.026</v>
      </c>
      <c r="I26" t="s">
        <v>349</v>
      </c>
      <c r="K26" t="s">
        <v>239</v>
      </c>
      <c r="L26" t="s">
        <v>137</v>
      </c>
      <c r="M26">
        <v>26.821000000000002</v>
      </c>
      <c r="N26">
        <v>196.94</v>
      </c>
      <c r="O26">
        <v>-1</v>
      </c>
      <c r="P26">
        <v>1</v>
      </c>
      <c r="Q26">
        <v>20</v>
      </c>
      <c r="R26">
        <v>81.5</v>
      </c>
      <c r="T26" t="b">
        <v>0</v>
      </c>
      <c r="U26" t="s">
        <v>240</v>
      </c>
      <c r="V26">
        <v>795</v>
      </c>
      <c r="W26">
        <v>-5.7599999999979397E-2</v>
      </c>
      <c r="X26">
        <v>794.99317716821804</v>
      </c>
      <c r="Y26">
        <v>795</v>
      </c>
      <c r="Z26">
        <v>-6.8228317824149997E-3</v>
      </c>
      <c r="AA26">
        <v>39</v>
      </c>
      <c r="AB26">
        <v>14</v>
      </c>
      <c r="AC26">
        <v>3</v>
      </c>
      <c r="AD26" t="b">
        <v>1</v>
      </c>
      <c r="AE26" t="s">
        <v>212</v>
      </c>
      <c r="AF26" t="s">
        <v>143</v>
      </c>
      <c r="AG26" t="b">
        <v>0</v>
      </c>
      <c r="AH26" t="b">
        <v>1</v>
      </c>
      <c r="AI26" t="b">
        <v>1</v>
      </c>
      <c r="AJ26" t="b">
        <v>0</v>
      </c>
      <c r="AK26" t="s">
        <v>237</v>
      </c>
      <c r="AL26" t="s">
        <v>239</v>
      </c>
      <c r="AR26" t="b">
        <v>1</v>
      </c>
      <c r="AS26">
        <v>7436</v>
      </c>
      <c r="BP26">
        <v>19.276340000000001</v>
      </c>
      <c r="CI26">
        <v>3.276335</v>
      </c>
      <c r="CK26">
        <v>24.276340000000001</v>
      </c>
      <c r="CX26">
        <v>3.276335</v>
      </c>
      <c r="DP26">
        <v>24.276340000000001</v>
      </c>
      <c r="EF26" s="3">
        <f t="shared" si="0"/>
        <v>5.2083333333333336E-2</v>
      </c>
    </row>
    <row r="27" spans="1:136" x14ac:dyDescent="0.25">
      <c r="A27" s="1">
        <v>5482</v>
      </c>
      <c r="B27" t="s">
        <v>237</v>
      </c>
      <c r="C27" t="s">
        <v>192</v>
      </c>
      <c r="D27" t="s">
        <v>273</v>
      </c>
      <c r="G27">
        <v>580.96040000000005</v>
      </c>
      <c r="H27">
        <v>15.146000000000001</v>
      </c>
      <c r="I27" t="s">
        <v>349</v>
      </c>
      <c r="K27" t="s">
        <v>239</v>
      </c>
      <c r="L27" t="s">
        <v>137</v>
      </c>
      <c r="M27">
        <v>23.95</v>
      </c>
      <c r="N27">
        <v>176.92</v>
      </c>
      <c r="O27">
        <v>-1</v>
      </c>
      <c r="P27">
        <v>1</v>
      </c>
      <c r="Q27">
        <v>30</v>
      </c>
      <c r="R27">
        <v>98</v>
      </c>
      <c r="T27" t="b">
        <v>0</v>
      </c>
      <c r="U27" t="s">
        <v>240</v>
      </c>
      <c r="V27">
        <v>581</v>
      </c>
      <c r="W27">
        <v>-3.95999999999503E-2</v>
      </c>
      <c r="X27">
        <v>580.99750900809704</v>
      </c>
      <c r="Y27">
        <v>581</v>
      </c>
      <c r="Z27">
        <v>-2.4909919026185E-3</v>
      </c>
      <c r="AA27">
        <v>33</v>
      </c>
      <c r="AB27">
        <v>9</v>
      </c>
      <c r="AC27">
        <v>3</v>
      </c>
      <c r="AD27" t="b">
        <v>1</v>
      </c>
      <c r="AE27" t="s">
        <v>212</v>
      </c>
      <c r="AF27" t="s">
        <v>143</v>
      </c>
      <c r="AG27" t="b">
        <v>0</v>
      </c>
      <c r="AH27" t="b">
        <v>1</v>
      </c>
      <c r="AI27" t="b">
        <v>1</v>
      </c>
      <c r="AJ27" t="b">
        <v>0</v>
      </c>
      <c r="AK27" t="s">
        <v>237</v>
      </c>
      <c r="AL27" t="s">
        <v>239</v>
      </c>
      <c r="AR27" t="b">
        <v>1</v>
      </c>
      <c r="AS27">
        <v>5482</v>
      </c>
      <c r="BT27">
        <v>13.01343</v>
      </c>
      <c r="CJ27">
        <v>11.01343</v>
      </c>
      <c r="DR27">
        <v>10.01343</v>
      </c>
      <c r="DS27">
        <v>2.0134340000000002</v>
      </c>
      <c r="EF27" s="3">
        <f t="shared" si="0"/>
        <v>4.1666666666666664E-2</v>
      </c>
    </row>
    <row r="28" spans="1:136" x14ac:dyDescent="0.25">
      <c r="A28" s="1">
        <v>6177</v>
      </c>
      <c r="B28" t="s">
        <v>237</v>
      </c>
      <c r="C28" t="s">
        <v>134</v>
      </c>
      <c r="D28" t="s">
        <v>243</v>
      </c>
      <c r="G28">
        <v>794.94320000000005</v>
      </c>
      <c r="H28">
        <v>16.22</v>
      </c>
      <c r="I28" t="s">
        <v>349</v>
      </c>
      <c r="K28" t="s">
        <v>239</v>
      </c>
      <c r="L28" t="s">
        <v>137</v>
      </c>
      <c r="M28">
        <v>26.803999999999998</v>
      </c>
      <c r="N28">
        <v>196.85</v>
      </c>
      <c r="O28">
        <v>-1</v>
      </c>
      <c r="P28">
        <v>1</v>
      </c>
      <c r="Q28">
        <v>21</v>
      </c>
      <c r="R28">
        <v>99.2</v>
      </c>
      <c r="T28" t="b">
        <v>0</v>
      </c>
      <c r="U28" t="s">
        <v>240</v>
      </c>
      <c r="V28">
        <v>795</v>
      </c>
      <c r="W28">
        <v>-5.6799999999952902E-2</v>
      </c>
      <c r="X28">
        <v>794.99397721931803</v>
      </c>
      <c r="Y28">
        <v>795</v>
      </c>
      <c r="Z28">
        <v>-6.0227806822012999E-3</v>
      </c>
      <c r="AA28">
        <v>34</v>
      </c>
      <c r="AB28">
        <v>11</v>
      </c>
      <c r="AC28">
        <v>3</v>
      </c>
      <c r="AD28" t="b">
        <v>1</v>
      </c>
      <c r="AE28" t="s">
        <v>142</v>
      </c>
      <c r="AF28" t="s">
        <v>143</v>
      </c>
      <c r="AG28" t="b">
        <v>0</v>
      </c>
      <c r="AH28" t="b">
        <v>1</v>
      </c>
      <c r="AI28" t="b">
        <v>1</v>
      </c>
      <c r="AJ28" t="b">
        <v>0</v>
      </c>
      <c r="AK28" t="s">
        <v>237</v>
      </c>
      <c r="AL28" t="s">
        <v>239</v>
      </c>
      <c r="AR28" t="b">
        <v>1</v>
      </c>
      <c r="AS28">
        <v>6177</v>
      </c>
      <c r="BH28">
        <v>11.72241</v>
      </c>
      <c r="CA28">
        <v>13.72241</v>
      </c>
      <c r="CJ28">
        <v>2.7224119999999998</v>
      </c>
      <c r="CQ28">
        <v>14.72241</v>
      </c>
      <c r="EF28" s="3">
        <f t="shared" si="0"/>
        <v>4.1666666666666664E-2</v>
      </c>
    </row>
    <row r="29" spans="1:136" x14ac:dyDescent="0.25">
      <c r="A29" s="1">
        <v>2607</v>
      </c>
      <c r="B29" t="s">
        <v>237</v>
      </c>
      <c r="C29" t="s">
        <v>264</v>
      </c>
      <c r="D29" t="s">
        <v>265</v>
      </c>
      <c r="G29">
        <v>289.03039999999999</v>
      </c>
      <c r="H29">
        <v>13.552</v>
      </c>
      <c r="I29" t="s">
        <v>349</v>
      </c>
      <c r="K29" t="s">
        <v>239</v>
      </c>
      <c r="L29" t="s">
        <v>137</v>
      </c>
      <c r="M29">
        <v>20.602</v>
      </c>
      <c r="N29">
        <v>155.69999999999999</v>
      </c>
      <c r="O29">
        <v>-1</v>
      </c>
      <c r="P29">
        <v>3</v>
      </c>
      <c r="Q29">
        <v>12</v>
      </c>
      <c r="R29">
        <v>55.2</v>
      </c>
      <c r="T29" t="b">
        <v>0</v>
      </c>
      <c r="U29" t="s">
        <v>240</v>
      </c>
      <c r="V29">
        <v>289</v>
      </c>
      <c r="W29">
        <v>3.0399999999986001E-2</v>
      </c>
      <c r="X29">
        <v>289.04886189766802</v>
      </c>
      <c r="Y29">
        <v>289</v>
      </c>
      <c r="Z29">
        <v>4.88618976680186E-2</v>
      </c>
      <c r="AA29">
        <v>43</v>
      </c>
      <c r="AB29">
        <v>26</v>
      </c>
      <c r="AC29">
        <v>3</v>
      </c>
      <c r="AD29" t="b">
        <v>1</v>
      </c>
      <c r="AE29" t="s">
        <v>212</v>
      </c>
      <c r="AF29" t="s">
        <v>165</v>
      </c>
      <c r="AG29" t="b">
        <v>0</v>
      </c>
      <c r="AH29" t="b">
        <v>1</v>
      </c>
      <c r="AI29" t="b">
        <v>1</v>
      </c>
      <c r="AJ29" t="b">
        <v>0</v>
      </c>
      <c r="AK29" t="s">
        <v>237</v>
      </c>
      <c r="AL29" t="s">
        <v>239</v>
      </c>
      <c r="AR29" t="b">
        <v>1</v>
      </c>
      <c r="AS29">
        <v>2607</v>
      </c>
      <c r="BR29">
        <v>408.16669999999999</v>
      </c>
      <c r="CU29">
        <v>339.16669999999999</v>
      </c>
      <c r="DP29">
        <v>1026.1669999999999</v>
      </c>
      <c r="EF29" s="3">
        <f t="shared" si="0"/>
        <v>3.125E-2</v>
      </c>
    </row>
    <row r="30" spans="1:136" x14ac:dyDescent="0.25">
      <c r="A30" s="1">
        <v>5551</v>
      </c>
      <c r="B30" t="s">
        <v>237</v>
      </c>
      <c r="C30" t="s">
        <v>152</v>
      </c>
      <c r="D30" t="s">
        <v>273</v>
      </c>
      <c r="G30">
        <v>580.95600000000002</v>
      </c>
      <c r="H30">
        <v>15.2</v>
      </c>
      <c r="I30" t="s">
        <v>349</v>
      </c>
      <c r="K30" t="s">
        <v>239</v>
      </c>
      <c r="L30" t="s">
        <v>137</v>
      </c>
      <c r="M30">
        <v>23.937999999999999</v>
      </c>
      <c r="N30">
        <v>176.9</v>
      </c>
      <c r="O30">
        <v>-1</v>
      </c>
      <c r="P30">
        <v>1</v>
      </c>
      <c r="Q30">
        <v>27</v>
      </c>
      <c r="R30">
        <v>97.5</v>
      </c>
      <c r="T30" t="b">
        <v>0</v>
      </c>
      <c r="U30" t="s">
        <v>240</v>
      </c>
      <c r="V30">
        <v>581</v>
      </c>
      <c r="W30">
        <v>-4.3999999999982699E-2</v>
      </c>
      <c r="X30">
        <v>580.99310872704598</v>
      </c>
      <c r="Y30">
        <v>581</v>
      </c>
      <c r="Z30">
        <v>-6.8912729537942002E-3</v>
      </c>
      <c r="AA30">
        <v>31</v>
      </c>
      <c r="AB30">
        <v>7</v>
      </c>
      <c r="AC30">
        <v>4</v>
      </c>
      <c r="AD30" t="b">
        <v>1</v>
      </c>
      <c r="AE30" t="s">
        <v>142</v>
      </c>
      <c r="AF30" t="s">
        <v>143</v>
      </c>
      <c r="AG30" t="b">
        <v>0</v>
      </c>
      <c r="AH30" t="b">
        <v>1</v>
      </c>
      <c r="AI30" t="b">
        <v>1</v>
      </c>
      <c r="AJ30" t="b">
        <v>0</v>
      </c>
      <c r="AK30" t="s">
        <v>237</v>
      </c>
      <c r="AL30" t="s">
        <v>239</v>
      </c>
      <c r="AR30" t="b">
        <v>1</v>
      </c>
      <c r="AS30">
        <v>5551</v>
      </c>
      <c r="BL30">
        <v>1.0946499000000001</v>
      </c>
      <c r="CK30">
        <v>47.094650000000001</v>
      </c>
      <c r="CQ30">
        <v>26.094650000000001</v>
      </c>
      <c r="EF30" s="3">
        <f t="shared" si="0"/>
        <v>3.125E-2</v>
      </c>
    </row>
    <row r="31" spans="1:136" x14ac:dyDescent="0.25">
      <c r="A31" s="1">
        <v>8807</v>
      </c>
      <c r="B31" t="s">
        <v>237</v>
      </c>
      <c r="C31" t="s">
        <v>166</v>
      </c>
      <c r="D31" t="s">
        <v>296</v>
      </c>
      <c r="G31">
        <v>644.95460000000003</v>
      </c>
      <c r="H31">
        <v>15.77</v>
      </c>
      <c r="I31" t="s">
        <v>349</v>
      </c>
      <c r="K31" t="s">
        <v>239</v>
      </c>
      <c r="L31" t="s">
        <v>137</v>
      </c>
      <c r="M31">
        <v>24.088999999999999</v>
      </c>
      <c r="N31">
        <v>177.54</v>
      </c>
      <c r="O31">
        <v>-1</v>
      </c>
      <c r="P31">
        <v>1</v>
      </c>
      <c r="Q31">
        <v>12</v>
      </c>
      <c r="R31">
        <v>79.400000000000006</v>
      </c>
      <c r="T31" t="b">
        <v>0</v>
      </c>
      <c r="U31" t="s">
        <v>240</v>
      </c>
      <c r="V31">
        <v>645</v>
      </c>
      <c r="W31">
        <v>-4.53999999999724E-2</v>
      </c>
      <c r="X31">
        <v>644.99579665552699</v>
      </c>
      <c r="Y31">
        <v>645</v>
      </c>
      <c r="Z31">
        <v>-4.2033444725575004E-3</v>
      </c>
      <c r="AA31">
        <v>38</v>
      </c>
      <c r="AB31">
        <v>14</v>
      </c>
      <c r="AC31">
        <v>5</v>
      </c>
      <c r="AD31" t="b">
        <v>1</v>
      </c>
      <c r="AE31" t="s">
        <v>212</v>
      </c>
      <c r="AF31" t="s">
        <v>143</v>
      </c>
      <c r="AG31" t="b">
        <v>0</v>
      </c>
      <c r="AH31" t="b">
        <v>1</v>
      </c>
      <c r="AI31" t="b">
        <v>1</v>
      </c>
      <c r="AJ31" t="b">
        <v>0</v>
      </c>
      <c r="AK31" t="s">
        <v>237</v>
      </c>
      <c r="AL31" t="s">
        <v>239</v>
      </c>
      <c r="AR31" t="b">
        <v>1</v>
      </c>
      <c r="AS31">
        <v>8807</v>
      </c>
      <c r="BU31">
        <v>2.7474029999999998</v>
      </c>
      <c r="CA31">
        <v>4.7474030000000003</v>
      </c>
      <c r="CY31">
        <v>14.747400000000001</v>
      </c>
      <c r="EF31" s="3">
        <f t="shared" si="0"/>
        <v>3.125E-2</v>
      </c>
    </row>
    <row r="32" spans="1:136" x14ac:dyDescent="0.25">
      <c r="A32" s="1">
        <v>4843</v>
      </c>
      <c r="B32" t="s">
        <v>237</v>
      </c>
      <c r="C32" t="s">
        <v>248</v>
      </c>
      <c r="D32" t="s">
        <v>279</v>
      </c>
      <c r="G32">
        <v>359.03359999999998</v>
      </c>
      <c r="H32">
        <v>12.153</v>
      </c>
      <c r="I32" t="s">
        <v>349</v>
      </c>
      <c r="K32" t="s">
        <v>239</v>
      </c>
      <c r="L32" t="s">
        <v>137</v>
      </c>
      <c r="M32">
        <v>21.646999999999998</v>
      </c>
      <c r="N32">
        <v>162.16</v>
      </c>
      <c r="O32">
        <v>-1</v>
      </c>
      <c r="P32">
        <v>1</v>
      </c>
      <c r="Q32">
        <v>20</v>
      </c>
      <c r="R32">
        <v>44.2</v>
      </c>
      <c r="T32" t="b">
        <v>0</v>
      </c>
      <c r="U32" t="s">
        <v>240</v>
      </c>
      <c r="V32">
        <v>359</v>
      </c>
      <c r="W32">
        <v>3.3599999999978501E-2</v>
      </c>
      <c r="X32">
        <v>359.05653337165398</v>
      </c>
      <c r="Y32">
        <v>359</v>
      </c>
      <c r="Z32">
        <v>5.6533371654268201E-2</v>
      </c>
      <c r="AA32">
        <v>33</v>
      </c>
      <c r="AB32">
        <v>16</v>
      </c>
      <c r="AC32">
        <v>3</v>
      </c>
      <c r="AD32" t="b">
        <v>1</v>
      </c>
      <c r="AE32" t="s">
        <v>212</v>
      </c>
      <c r="AF32" t="s">
        <v>143</v>
      </c>
      <c r="AG32" t="b">
        <v>0</v>
      </c>
      <c r="AH32" t="b">
        <v>1</v>
      </c>
      <c r="AI32" t="b">
        <v>1</v>
      </c>
      <c r="AJ32" t="b">
        <v>0</v>
      </c>
      <c r="AK32" t="s">
        <v>237</v>
      </c>
      <c r="AL32" t="s">
        <v>239</v>
      </c>
      <c r="AR32" t="b">
        <v>1</v>
      </c>
      <c r="AS32">
        <v>4843</v>
      </c>
      <c r="AV32">
        <v>28.785879999999999</v>
      </c>
      <c r="CA32">
        <v>31.785879999999999</v>
      </c>
      <c r="EF32" s="3">
        <f t="shared" si="0"/>
        <v>2.0833333333333332E-2</v>
      </c>
    </row>
    <row r="33" spans="1:136" x14ac:dyDescent="0.25">
      <c r="A33" s="1">
        <v>8683</v>
      </c>
      <c r="B33" t="s">
        <v>237</v>
      </c>
      <c r="C33" t="s">
        <v>166</v>
      </c>
      <c r="D33" t="s">
        <v>238</v>
      </c>
      <c r="G33">
        <v>894.94150000000002</v>
      </c>
      <c r="H33">
        <v>15.260999999999999</v>
      </c>
      <c r="I33" t="s">
        <v>349</v>
      </c>
      <c r="K33" t="s">
        <v>239</v>
      </c>
      <c r="L33" t="s">
        <v>137</v>
      </c>
      <c r="M33">
        <v>28.736000000000001</v>
      </c>
      <c r="N33">
        <v>210.6</v>
      </c>
      <c r="O33">
        <v>-1</v>
      </c>
      <c r="P33">
        <v>1</v>
      </c>
      <c r="Q33">
        <v>15</v>
      </c>
      <c r="R33">
        <v>88.8</v>
      </c>
      <c r="T33" t="b">
        <v>0</v>
      </c>
      <c r="U33" t="s">
        <v>240</v>
      </c>
      <c r="V33">
        <v>895</v>
      </c>
      <c r="W33">
        <v>-5.8499999999980901E-2</v>
      </c>
      <c r="X33">
        <v>894.99866463870899</v>
      </c>
      <c r="Y33">
        <v>895</v>
      </c>
      <c r="Z33">
        <v>-1.3353612911259E-3</v>
      </c>
      <c r="AA33">
        <v>39</v>
      </c>
      <c r="AB33">
        <v>14</v>
      </c>
      <c r="AC33">
        <v>3</v>
      </c>
      <c r="AD33" t="b">
        <v>1</v>
      </c>
      <c r="AE33" t="s">
        <v>212</v>
      </c>
      <c r="AF33" t="s">
        <v>143</v>
      </c>
      <c r="AG33" t="b">
        <v>0</v>
      </c>
      <c r="AH33" t="b">
        <v>1</v>
      </c>
      <c r="AI33" t="b">
        <v>1</v>
      </c>
      <c r="AJ33" t="b">
        <v>0</v>
      </c>
      <c r="AK33" t="s">
        <v>237</v>
      </c>
      <c r="AL33" t="s">
        <v>239</v>
      </c>
      <c r="AR33" t="b">
        <v>1</v>
      </c>
      <c r="AS33">
        <v>8683</v>
      </c>
      <c r="BP33">
        <v>3.8358599999999998</v>
      </c>
      <c r="CJ33">
        <v>3.8358599999999998</v>
      </c>
      <c r="EF33" s="3">
        <f t="shared" si="0"/>
        <v>2.0833333333333332E-2</v>
      </c>
    </row>
    <row r="34" spans="1:136" x14ac:dyDescent="0.25">
      <c r="A34" s="1">
        <v>6529</v>
      </c>
      <c r="B34" t="s">
        <v>237</v>
      </c>
      <c r="C34" t="s">
        <v>189</v>
      </c>
      <c r="D34" t="s">
        <v>243</v>
      </c>
      <c r="G34">
        <v>794.94479999999999</v>
      </c>
      <c r="H34">
        <v>15.648999999999999</v>
      </c>
      <c r="I34" t="s">
        <v>349</v>
      </c>
      <c r="K34" t="s">
        <v>239</v>
      </c>
      <c r="L34" t="s">
        <v>137</v>
      </c>
      <c r="M34">
        <v>26.815999999999999</v>
      </c>
      <c r="N34">
        <v>196.9</v>
      </c>
      <c r="O34">
        <v>-1</v>
      </c>
      <c r="P34">
        <v>1</v>
      </c>
      <c r="Q34">
        <v>26</v>
      </c>
      <c r="R34">
        <v>99.3</v>
      </c>
      <c r="T34" t="b">
        <v>0</v>
      </c>
      <c r="U34" t="s">
        <v>240</v>
      </c>
      <c r="V34">
        <v>795</v>
      </c>
      <c r="W34">
        <v>-5.5200000000013502E-2</v>
      </c>
      <c r="X34">
        <v>794.995577321518</v>
      </c>
      <c r="Y34">
        <v>795</v>
      </c>
      <c r="Z34">
        <v>-4.4226784817737999E-3</v>
      </c>
      <c r="AA34">
        <v>31</v>
      </c>
      <c r="AB34">
        <v>8</v>
      </c>
      <c r="AC34">
        <v>4</v>
      </c>
      <c r="AD34" t="b">
        <v>1</v>
      </c>
      <c r="AE34" t="s">
        <v>212</v>
      </c>
      <c r="AF34" t="s">
        <v>143</v>
      </c>
      <c r="AG34" t="b">
        <v>0</v>
      </c>
      <c r="AH34" t="b">
        <v>1</v>
      </c>
      <c r="AI34" t="b">
        <v>1</v>
      </c>
      <c r="AJ34" t="b">
        <v>0</v>
      </c>
      <c r="AK34" t="s">
        <v>237</v>
      </c>
      <c r="AL34" t="s">
        <v>239</v>
      </c>
      <c r="AR34" t="b">
        <v>1</v>
      </c>
      <c r="AS34">
        <v>6529</v>
      </c>
      <c r="BL34">
        <v>6.9136695000000001</v>
      </c>
      <c r="DQ34">
        <v>18.91367</v>
      </c>
      <c r="EF34" s="3">
        <f t="shared" ref="EF34:EF63" si="1">COUNT(AT34:EE34)/96</f>
        <v>2.0833333333333332E-2</v>
      </c>
    </row>
    <row r="35" spans="1:136" x14ac:dyDescent="0.25">
      <c r="A35" s="1">
        <v>8448</v>
      </c>
      <c r="B35" t="s">
        <v>237</v>
      </c>
      <c r="C35" t="s">
        <v>134</v>
      </c>
      <c r="D35" t="s">
        <v>273</v>
      </c>
      <c r="G35">
        <v>580.95749999999998</v>
      </c>
      <c r="H35">
        <v>15.81</v>
      </c>
      <c r="I35" t="s">
        <v>349</v>
      </c>
      <c r="K35" t="s">
        <v>239</v>
      </c>
      <c r="L35" t="s">
        <v>137</v>
      </c>
      <c r="M35">
        <v>23.859000000000002</v>
      </c>
      <c r="N35">
        <v>176.24</v>
      </c>
      <c r="O35">
        <v>-1</v>
      </c>
      <c r="P35">
        <v>1</v>
      </c>
      <c r="Q35">
        <v>14</v>
      </c>
      <c r="R35">
        <v>54.4</v>
      </c>
      <c r="T35" t="b">
        <v>0</v>
      </c>
      <c r="U35" t="s">
        <v>240</v>
      </c>
      <c r="V35">
        <v>581</v>
      </c>
      <c r="W35">
        <v>-4.2500000000018197E-2</v>
      </c>
      <c r="X35">
        <v>580.99460882285905</v>
      </c>
      <c r="Y35">
        <v>581</v>
      </c>
      <c r="Z35">
        <v>-5.3911771409501999E-3</v>
      </c>
      <c r="AA35">
        <v>35</v>
      </c>
      <c r="AB35">
        <v>11</v>
      </c>
      <c r="AC35">
        <v>4</v>
      </c>
      <c r="AD35" t="b">
        <v>1</v>
      </c>
      <c r="AE35" t="s">
        <v>212</v>
      </c>
      <c r="AF35" t="s">
        <v>165</v>
      </c>
      <c r="AG35" t="b">
        <v>0</v>
      </c>
      <c r="AH35" t="b">
        <v>1</v>
      </c>
      <c r="AI35" t="b">
        <v>1</v>
      </c>
      <c r="AJ35" t="b">
        <v>0</v>
      </c>
      <c r="AK35" t="s">
        <v>237</v>
      </c>
      <c r="AL35" t="s">
        <v>239</v>
      </c>
      <c r="AR35" t="b">
        <v>1</v>
      </c>
      <c r="AS35">
        <v>8448</v>
      </c>
      <c r="BA35">
        <v>23.595479999999998</v>
      </c>
      <c r="CA35">
        <v>4.5954790000000001</v>
      </c>
      <c r="EF35" s="3">
        <f t="shared" si="1"/>
        <v>2.0833333333333332E-2</v>
      </c>
    </row>
    <row r="36" spans="1:136" x14ac:dyDescent="0.25">
      <c r="A36" s="1">
        <v>8778</v>
      </c>
      <c r="B36" t="s">
        <v>284</v>
      </c>
      <c r="C36" t="s">
        <v>264</v>
      </c>
      <c r="D36" t="s">
        <v>295</v>
      </c>
      <c r="G36">
        <v>285.04160000000002</v>
      </c>
      <c r="H36">
        <v>7.87</v>
      </c>
      <c r="I36" t="s">
        <v>349</v>
      </c>
      <c r="K36" t="s">
        <v>286</v>
      </c>
      <c r="L36" t="s">
        <v>137</v>
      </c>
      <c r="M36">
        <v>19.216000000000001</v>
      </c>
      <c r="N36">
        <v>145.27000000000001</v>
      </c>
      <c r="O36">
        <v>-1</v>
      </c>
      <c r="P36">
        <v>1</v>
      </c>
      <c r="Q36">
        <v>12</v>
      </c>
      <c r="R36">
        <v>74.099999999999994</v>
      </c>
      <c r="T36" t="b">
        <v>0</v>
      </c>
      <c r="U36" t="s">
        <v>240</v>
      </c>
      <c r="V36">
        <v>285</v>
      </c>
      <c r="W36">
        <v>4.16000000000167E-2</v>
      </c>
      <c r="X36">
        <v>285.05980711195201</v>
      </c>
      <c r="Y36">
        <v>285</v>
      </c>
      <c r="Z36">
        <v>5.9807111952011403E-2</v>
      </c>
      <c r="AA36">
        <v>41</v>
      </c>
      <c r="AB36">
        <v>26</v>
      </c>
      <c r="AC36">
        <v>3</v>
      </c>
      <c r="AD36" t="b">
        <v>1</v>
      </c>
      <c r="AE36" t="s">
        <v>212</v>
      </c>
      <c r="AF36" t="s">
        <v>143</v>
      </c>
      <c r="AG36" t="b">
        <v>0</v>
      </c>
      <c r="AH36" t="b">
        <v>1</v>
      </c>
      <c r="AI36" t="b">
        <v>1</v>
      </c>
      <c r="AJ36" t="b">
        <v>0</v>
      </c>
      <c r="AK36" t="s">
        <v>284</v>
      </c>
      <c r="AL36" t="s">
        <v>286</v>
      </c>
      <c r="AR36" t="b">
        <v>1</v>
      </c>
      <c r="AS36">
        <v>8778</v>
      </c>
      <c r="CB36">
        <v>28.633299999999998</v>
      </c>
      <c r="EF36" s="3">
        <f t="shared" si="1"/>
        <v>1.0416666666666666E-2</v>
      </c>
    </row>
    <row r="37" spans="1:136" x14ac:dyDescent="0.25">
      <c r="A37" s="1">
        <v>7106</v>
      </c>
      <c r="B37" t="s">
        <v>237</v>
      </c>
      <c r="C37" t="s">
        <v>232</v>
      </c>
      <c r="D37" t="s">
        <v>289</v>
      </c>
      <c r="G37">
        <v>309.03840000000002</v>
      </c>
      <c r="H37">
        <v>9.9480000000000004</v>
      </c>
      <c r="I37" t="s">
        <v>349</v>
      </c>
      <c r="K37" t="s">
        <v>239</v>
      </c>
      <c r="L37" t="s">
        <v>137</v>
      </c>
      <c r="M37">
        <v>20.332999999999998</v>
      </c>
      <c r="N37">
        <v>153.21</v>
      </c>
      <c r="O37">
        <v>-1</v>
      </c>
      <c r="P37">
        <v>1</v>
      </c>
      <c r="Q37">
        <v>16</v>
      </c>
      <c r="R37">
        <v>87.4</v>
      </c>
      <c r="T37" t="b">
        <v>0</v>
      </c>
      <c r="U37" t="s">
        <v>240</v>
      </c>
      <c r="V37">
        <v>309</v>
      </c>
      <c r="W37">
        <v>3.8400000000024199E-2</v>
      </c>
      <c r="X37">
        <v>309.05813991426601</v>
      </c>
      <c r="Y37">
        <v>309</v>
      </c>
      <c r="Z37">
        <v>5.8139914266121202E-2</v>
      </c>
      <c r="AA37">
        <v>39</v>
      </c>
      <c r="AB37">
        <v>22</v>
      </c>
      <c r="AC37">
        <v>3</v>
      </c>
      <c r="AD37" t="b">
        <v>1</v>
      </c>
      <c r="AE37" t="s">
        <v>212</v>
      </c>
      <c r="AF37" t="s">
        <v>143</v>
      </c>
      <c r="AG37" t="b">
        <v>0</v>
      </c>
      <c r="AH37" t="b">
        <v>1</v>
      </c>
      <c r="AI37" t="b">
        <v>1</v>
      </c>
      <c r="AJ37" t="b">
        <v>0</v>
      </c>
      <c r="AK37" t="s">
        <v>237</v>
      </c>
      <c r="AL37" t="s">
        <v>239</v>
      </c>
      <c r="AR37" t="b">
        <v>1</v>
      </c>
      <c r="AS37">
        <v>7106</v>
      </c>
      <c r="CA37">
        <v>26.01343</v>
      </c>
      <c r="EF37" s="3">
        <f t="shared" si="1"/>
        <v>1.0416666666666666E-2</v>
      </c>
    </row>
    <row r="38" spans="1:136" x14ac:dyDescent="0.25">
      <c r="A38" s="1">
        <v>3784</v>
      </c>
      <c r="B38" t="s">
        <v>237</v>
      </c>
      <c r="C38" t="s">
        <v>232</v>
      </c>
      <c r="D38" t="s">
        <v>269</v>
      </c>
      <c r="G38">
        <v>259.04719999999998</v>
      </c>
      <c r="H38">
        <v>11.195</v>
      </c>
      <c r="I38" t="s">
        <v>349</v>
      </c>
      <c r="K38" t="s">
        <v>239</v>
      </c>
      <c r="L38" t="s">
        <v>137</v>
      </c>
      <c r="M38">
        <v>19.023</v>
      </c>
      <c r="N38">
        <v>144.51</v>
      </c>
      <c r="O38">
        <v>-1</v>
      </c>
      <c r="P38">
        <v>1</v>
      </c>
      <c r="Q38">
        <v>19</v>
      </c>
      <c r="R38">
        <v>50</v>
      </c>
      <c r="T38" t="b">
        <v>0</v>
      </c>
      <c r="U38" t="s">
        <v>240</v>
      </c>
      <c r="V38">
        <v>259</v>
      </c>
      <c r="W38">
        <v>4.7199999999975303E-2</v>
      </c>
      <c r="X38">
        <v>259.06374671237899</v>
      </c>
      <c r="Y38">
        <v>259</v>
      </c>
      <c r="Z38">
        <v>6.3746712378986103E-2</v>
      </c>
      <c r="AA38">
        <v>39</v>
      </c>
      <c r="AB38">
        <v>22</v>
      </c>
      <c r="AC38">
        <v>3</v>
      </c>
      <c r="AD38" t="b">
        <v>1</v>
      </c>
      <c r="AE38" t="s">
        <v>212</v>
      </c>
      <c r="AF38" t="s">
        <v>143</v>
      </c>
      <c r="AG38" t="b">
        <v>0</v>
      </c>
      <c r="AH38" t="b">
        <v>1</v>
      </c>
      <c r="AI38" t="b">
        <v>1</v>
      </c>
      <c r="AJ38" t="b">
        <v>0</v>
      </c>
      <c r="AK38" t="s">
        <v>237</v>
      </c>
      <c r="AL38" t="s">
        <v>239</v>
      </c>
      <c r="AR38" t="b">
        <v>1</v>
      </c>
      <c r="AS38">
        <v>3784</v>
      </c>
      <c r="CA38">
        <v>250.999</v>
      </c>
      <c r="EF38" s="3">
        <f t="shared" si="1"/>
        <v>1.0416666666666666E-2</v>
      </c>
    </row>
    <row r="39" spans="1:136" x14ac:dyDescent="0.25">
      <c r="A39" s="1">
        <v>7494</v>
      </c>
      <c r="B39" t="s">
        <v>237</v>
      </c>
      <c r="C39" t="s">
        <v>226</v>
      </c>
      <c r="D39" t="s">
        <v>291</v>
      </c>
      <c r="G39">
        <v>279.04509999999999</v>
      </c>
      <c r="H39">
        <v>13.34</v>
      </c>
      <c r="I39" t="s">
        <v>349</v>
      </c>
      <c r="K39" t="s">
        <v>239</v>
      </c>
      <c r="L39" t="s">
        <v>137</v>
      </c>
      <c r="M39">
        <v>19.591999999999999</v>
      </c>
      <c r="N39">
        <v>148.27000000000001</v>
      </c>
      <c r="O39">
        <v>-1</v>
      </c>
      <c r="P39">
        <v>1</v>
      </c>
      <c r="Q39">
        <v>21</v>
      </c>
      <c r="R39">
        <v>87.8</v>
      </c>
      <c r="T39" t="b">
        <v>0</v>
      </c>
      <c r="U39" t="s">
        <v>240</v>
      </c>
      <c r="V39">
        <v>279</v>
      </c>
      <c r="W39">
        <v>4.50999999999908E-2</v>
      </c>
      <c r="X39">
        <v>279.062924083837</v>
      </c>
      <c r="Y39">
        <v>279</v>
      </c>
      <c r="Z39">
        <v>6.2924083836719505E-2</v>
      </c>
      <c r="AA39">
        <v>45</v>
      </c>
      <c r="AB39">
        <v>15</v>
      </c>
      <c r="AC39">
        <v>3</v>
      </c>
      <c r="AD39" t="b">
        <v>1</v>
      </c>
      <c r="AE39" t="s">
        <v>142</v>
      </c>
      <c r="AF39" t="s">
        <v>165</v>
      </c>
      <c r="AG39" t="b">
        <v>0</v>
      </c>
      <c r="AH39" t="b">
        <v>1</v>
      </c>
      <c r="AI39" t="b">
        <v>1</v>
      </c>
      <c r="AJ39" t="b">
        <v>0</v>
      </c>
      <c r="AK39" t="s">
        <v>237</v>
      </c>
      <c r="AL39" t="s">
        <v>239</v>
      </c>
      <c r="AR39" t="b">
        <v>1</v>
      </c>
      <c r="AS39">
        <v>7494</v>
      </c>
      <c r="CI39">
        <v>41.68394</v>
      </c>
      <c r="EF39" s="3">
        <f t="shared" si="1"/>
        <v>1.0416666666666666E-2</v>
      </c>
    </row>
    <row r="40" spans="1:136" x14ac:dyDescent="0.25">
      <c r="A40" s="1">
        <v>8329</v>
      </c>
      <c r="B40" t="s">
        <v>237</v>
      </c>
      <c r="C40" t="s">
        <v>205</v>
      </c>
      <c r="D40" t="s">
        <v>293</v>
      </c>
      <c r="G40">
        <v>279.04750000000001</v>
      </c>
      <c r="H40">
        <v>14.507</v>
      </c>
      <c r="I40" t="s">
        <v>349</v>
      </c>
      <c r="K40" t="s">
        <v>239</v>
      </c>
      <c r="L40" t="s">
        <v>137</v>
      </c>
      <c r="M40">
        <v>19.675999999999998</v>
      </c>
      <c r="N40">
        <v>148.93</v>
      </c>
      <c r="O40">
        <v>-1</v>
      </c>
      <c r="P40">
        <v>1</v>
      </c>
      <c r="Q40">
        <v>17</v>
      </c>
      <c r="R40">
        <v>99.3</v>
      </c>
      <c r="T40" t="b">
        <v>0</v>
      </c>
      <c r="U40" t="s">
        <v>240</v>
      </c>
      <c r="V40">
        <v>279</v>
      </c>
      <c r="W40">
        <v>4.7500000000013601E-2</v>
      </c>
      <c r="X40">
        <v>279.06532423713702</v>
      </c>
      <c r="Y40">
        <v>279</v>
      </c>
      <c r="Z40">
        <v>6.5324237137417598E-2</v>
      </c>
      <c r="AA40">
        <v>39</v>
      </c>
      <c r="AB40">
        <v>12</v>
      </c>
      <c r="AC40">
        <v>3</v>
      </c>
      <c r="AD40" t="b">
        <v>1</v>
      </c>
      <c r="AE40" t="s">
        <v>142</v>
      </c>
      <c r="AF40" t="s">
        <v>165</v>
      </c>
      <c r="AG40" t="b">
        <v>0</v>
      </c>
      <c r="AH40" t="b">
        <v>1</v>
      </c>
      <c r="AI40" t="b">
        <v>1</v>
      </c>
      <c r="AJ40" t="b">
        <v>0</v>
      </c>
      <c r="AK40" t="s">
        <v>237</v>
      </c>
      <c r="AL40" t="s">
        <v>239</v>
      </c>
      <c r="AR40" t="b">
        <v>1</v>
      </c>
      <c r="AS40">
        <v>8329</v>
      </c>
      <c r="BN40">
        <v>21.582650000000001</v>
      </c>
      <c r="EF40" s="3">
        <f t="shared" si="1"/>
        <v>1.0416666666666666E-2</v>
      </c>
    </row>
    <row r="41" spans="1:136" x14ac:dyDescent="0.25">
      <c r="A41" s="1">
        <v>1088</v>
      </c>
      <c r="B41" t="s">
        <v>237</v>
      </c>
      <c r="C41" t="s">
        <v>249</v>
      </c>
      <c r="D41" t="s">
        <v>250</v>
      </c>
      <c r="G41">
        <v>307.04129999999998</v>
      </c>
      <c r="H41">
        <v>14.917</v>
      </c>
      <c r="I41" t="s">
        <v>349</v>
      </c>
      <c r="K41" t="s">
        <v>239</v>
      </c>
      <c r="L41" t="s">
        <v>137</v>
      </c>
      <c r="M41">
        <v>20.613</v>
      </c>
      <c r="N41">
        <v>155.36000000000001</v>
      </c>
      <c r="O41">
        <v>-1</v>
      </c>
      <c r="P41">
        <v>3</v>
      </c>
      <c r="Q41">
        <v>19</v>
      </c>
      <c r="R41">
        <v>55.2</v>
      </c>
      <c r="T41" t="b">
        <v>0</v>
      </c>
      <c r="U41" t="s">
        <v>240</v>
      </c>
      <c r="V41">
        <v>307</v>
      </c>
      <c r="W41">
        <v>4.1299999999978403E-2</v>
      </c>
      <c r="X41">
        <v>307.06091234894501</v>
      </c>
      <c r="Y41">
        <v>307</v>
      </c>
      <c r="Z41">
        <v>6.09123489447825E-2</v>
      </c>
      <c r="AA41">
        <v>42</v>
      </c>
      <c r="AB41">
        <v>21</v>
      </c>
      <c r="AC41">
        <v>3</v>
      </c>
      <c r="AD41" t="b">
        <v>1</v>
      </c>
      <c r="AE41" t="s">
        <v>212</v>
      </c>
      <c r="AF41" t="s">
        <v>165</v>
      </c>
      <c r="AG41" t="b">
        <v>0</v>
      </c>
      <c r="AH41" t="b">
        <v>1</v>
      </c>
      <c r="AI41" t="b">
        <v>1</v>
      </c>
      <c r="AJ41" t="b">
        <v>0</v>
      </c>
      <c r="AK41" t="s">
        <v>237</v>
      </c>
      <c r="AL41" t="s">
        <v>239</v>
      </c>
      <c r="AR41" t="b">
        <v>1</v>
      </c>
      <c r="AS41">
        <v>1088</v>
      </c>
      <c r="BZ41">
        <v>258.59719999999999</v>
      </c>
      <c r="EF41" s="3">
        <f t="shared" si="1"/>
        <v>1.0416666666666666E-2</v>
      </c>
    </row>
    <row r="42" spans="1:136" x14ac:dyDescent="0.25">
      <c r="A42" s="1">
        <v>4111</v>
      </c>
      <c r="B42" t="s">
        <v>237</v>
      </c>
      <c r="C42" t="s">
        <v>166</v>
      </c>
      <c r="D42" t="s">
        <v>273</v>
      </c>
      <c r="G42">
        <v>580.96109999999999</v>
      </c>
      <c r="H42">
        <v>15.321</v>
      </c>
      <c r="I42" t="s">
        <v>349</v>
      </c>
      <c r="K42" t="s">
        <v>239</v>
      </c>
      <c r="L42" t="s">
        <v>137</v>
      </c>
      <c r="M42">
        <v>23.928000000000001</v>
      </c>
      <c r="N42">
        <v>176.75</v>
      </c>
      <c r="O42">
        <v>-1</v>
      </c>
      <c r="P42">
        <v>1</v>
      </c>
      <c r="Q42">
        <v>36</v>
      </c>
      <c r="R42">
        <v>79.2</v>
      </c>
      <c r="T42" t="b">
        <v>0</v>
      </c>
      <c r="U42" t="s">
        <v>240</v>
      </c>
      <c r="V42">
        <v>581</v>
      </c>
      <c r="W42">
        <v>-3.8900000000012397E-2</v>
      </c>
      <c r="X42">
        <v>580.99820905281001</v>
      </c>
      <c r="Y42">
        <v>581</v>
      </c>
      <c r="Z42">
        <v>-1.7909471899884E-3</v>
      </c>
      <c r="AA42">
        <v>35</v>
      </c>
      <c r="AB42">
        <v>14</v>
      </c>
      <c r="AC42">
        <v>4</v>
      </c>
      <c r="AD42" t="b">
        <v>1</v>
      </c>
      <c r="AE42" t="s">
        <v>142</v>
      </c>
      <c r="AF42" t="s">
        <v>143</v>
      </c>
      <c r="AG42" t="b">
        <v>0</v>
      </c>
      <c r="AH42" t="b">
        <v>1</v>
      </c>
      <c r="AI42" t="b">
        <v>1</v>
      </c>
      <c r="AJ42" t="b">
        <v>0</v>
      </c>
      <c r="AK42" t="s">
        <v>237</v>
      </c>
      <c r="AL42" t="s">
        <v>239</v>
      </c>
      <c r="AR42" t="b">
        <v>1</v>
      </c>
      <c r="AS42">
        <v>4111</v>
      </c>
      <c r="CB42">
        <v>6.8988839999999998</v>
      </c>
      <c r="EF42" s="3">
        <f t="shared" si="1"/>
        <v>1.0416666666666666E-2</v>
      </c>
    </row>
    <row r="43" spans="1:136" x14ac:dyDescent="0.25">
      <c r="A43" s="1">
        <v>3954</v>
      </c>
      <c r="B43" t="s">
        <v>237</v>
      </c>
      <c r="C43" t="s">
        <v>248</v>
      </c>
      <c r="D43" t="s">
        <v>272</v>
      </c>
      <c r="G43">
        <v>265.03199999999998</v>
      </c>
      <c r="H43">
        <v>15.821</v>
      </c>
      <c r="I43" t="s">
        <v>349</v>
      </c>
      <c r="K43" t="s">
        <v>239</v>
      </c>
      <c r="L43" t="s">
        <v>137</v>
      </c>
      <c r="M43">
        <v>18.802</v>
      </c>
      <c r="N43">
        <v>142.63999999999999</v>
      </c>
      <c r="O43">
        <v>-1</v>
      </c>
      <c r="P43">
        <v>1</v>
      </c>
      <c r="Q43">
        <v>14</v>
      </c>
      <c r="R43">
        <v>57</v>
      </c>
      <c r="T43" t="b">
        <v>0</v>
      </c>
      <c r="U43" t="s">
        <v>240</v>
      </c>
      <c r="V43">
        <v>265</v>
      </c>
      <c r="W43">
        <v>3.19999999999823E-2</v>
      </c>
      <c r="X43">
        <v>265.04892899315303</v>
      </c>
      <c r="Y43">
        <v>265</v>
      </c>
      <c r="Z43">
        <v>4.8928993153481301E-2</v>
      </c>
      <c r="AA43">
        <v>38</v>
      </c>
      <c r="AB43">
        <v>16</v>
      </c>
      <c r="AC43">
        <v>3</v>
      </c>
      <c r="AD43" t="b">
        <v>1</v>
      </c>
      <c r="AE43" t="s">
        <v>142</v>
      </c>
      <c r="AF43" t="s">
        <v>165</v>
      </c>
      <c r="AG43" t="b">
        <v>0</v>
      </c>
      <c r="AH43" t="b">
        <v>1</v>
      </c>
      <c r="AI43" t="b">
        <v>1</v>
      </c>
      <c r="AJ43" t="b">
        <v>0</v>
      </c>
      <c r="AK43" t="s">
        <v>237</v>
      </c>
      <c r="AL43" t="s">
        <v>239</v>
      </c>
      <c r="AR43" t="b">
        <v>1</v>
      </c>
      <c r="AS43">
        <v>3954</v>
      </c>
      <c r="BT43">
        <v>49.230139999999999</v>
      </c>
      <c r="EF43" s="3">
        <f t="shared" si="1"/>
        <v>1.0416666666666666E-2</v>
      </c>
    </row>
    <row r="44" spans="1:136" x14ac:dyDescent="0.25">
      <c r="A44" s="1">
        <v>8553</v>
      </c>
      <c r="B44" t="s">
        <v>237</v>
      </c>
      <c r="C44" t="s">
        <v>192</v>
      </c>
      <c r="D44" t="s">
        <v>243</v>
      </c>
      <c r="G44">
        <v>794.94479999999999</v>
      </c>
      <c r="H44">
        <v>15.888999999999999</v>
      </c>
      <c r="I44" t="s">
        <v>349</v>
      </c>
      <c r="K44" t="s">
        <v>239</v>
      </c>
      <c r="L44" t="s">
        <v>137</v>
      </c>
      <c r="M44">
        <v>26.838999999999999</v>
      </c>
      <c r="N44">
        <v>197</v>
      </c>
      <c r="O44">
        <v>-1</v>
      </c>
      <c r="P44">
        <v>1</v>
      </c>
      <c r="Q44">
        <v>14</v>
      </c>
      <c r="R44">
        <v>97.5</v>
      </c>
      <c r="T44" t="b">
        <v>0</v>
      </c>
      <c r="U44" t="s">
        <v>240</v>
      </c>
      <c r="V44">
        <v>795</v>
      </c>
      <c r="W44">
        <v>-5.5200000000013502E-2</v>
      </c>
      <c r="X44">
        <v>794.995577321518</v>
      </c>
      <c r="Y44">
        <v>795</v>
      </c>
      <c r="Z44">
        <v>-4.4226784817737999E-3</v>
      </c>
      <c r="AA44">
        <v>33</v>
      </c>
      <c r="AB44">
        <v>9</v>
      </c>
      <c r="AC44">
        <v>3</v>
      </c>
      <c r="AD44" t="b">
        <v>1</v>
      </c>
      <c r="AE44" t="s">
        <v>142</v>
      </c>
      <c r="AF44" t="s">
        <v>143</v>
      </c>
      <c r="AG44" t="b">
        <v>0</v>
      </c>
      <c r="AH44" t="b">
        <v>1</v>
      </c>
      <c r="AI44" t="b">
        <v>1</v>
      </c>
      <c r="AJ44" t="b">
        <v>0</v>
      </c>
      <c r="AK44" t="s">
        <v>237</v>
      </c>
      <c r="AL44" t="s">
        <v>239</v>
      </c>
      <c r="AR44" t="b">
        <v>1</v>
      </c>
      <c r="AS44">
        <v>8553</v>
      </c>
      <c r="DD44">
        <v>12.84869</v>
      </c>
      <c r="EF44" s="3">
        <f t="shared" si="1"/>
        <v>1.0416666666666666E-2</v>
      </c>
    </row>
    <row r="45" spans="1:136" x14ac:dyDescent="0.25">
      <c r="A45" s="1">
        <v>6017</v>
      </c>
      <c r="B45" t="s">
        <v>237</v>
      </c>
      <c r="C45" t="s">
        <v>205</v>
      </c>
      <c r="D45" t="s">
        <v>253</v>
      </c>
      <c r="G45">
        <v>744.95299999999997</v>
      </c>
      <c r="H45">
        <v>16.067</v>
      </c>
      <c r="I45" t="s">
        <v>349</v>
      </c>
      <c r="K45" t="s">
        <v>239</v>
      </c>
      <c r="L45" t="s">
        <v>137</v>
      </c>
      <c r="M45">
        <v>25.88</v>
      </c>
      <c r="N45">
        <v>190.16</v>
      </c>
      <c r="O45">
        <v>-1</v>
      </c>
      <c r="P45">
        <v>1</v>
      </c>
      <c r="Q45">
        <v>25</v>
      </c>
      <c r="R45">
        <v>81</v>
      </c>
      <c r="T45" t="b">
        <v>0</v>
      </c>
      <c r="U45" t="s">
        <v>240</v>
      </c>
      <c r="V45">
        <v>745</v>
      </c>
      <c r="W45">
        <v>-4.7000000000025501E-2</v>
      </c>
      <c r="X45">
        <v>745.00058408130599</v>
      </c>
      <c r="Y45">
        <v>745</v>
      </c>
      <c r="Z45">
        <v>5.8408130598760002E-4</v>
      </c>
      <c r="AA45">
        <v>39</v>
      </c>
      <c r="AB45">
        <v>12</v>
      </c>
      <c r="AC45">
        <v>3</v>
      </c>
      <c r="AD45" t="b">
        <v>1</v>
      </c>
      <c r="AE45" t="s">
        <v>142</v>
      </c>
      <c r="AF45" t="s">
        <v>143</v>
      </c>
      <c r="AG45" t="b">
        <v>0</v>
      </c>
      <c r="AH45" t="b">
        <v>1</v>
      </c>
      <c r="AI45" t="b">
        <v>1</v>
      </c>
      <c r="AJ45" t="b">
        <v>0</v>
      </c>
      <c r="AK45" t="s">
        <v>237</v>
      </c>
      <c r="AL45" t="s">
        <v>239</v>
      </c>
      <c r="AR45" t="b">
        <v>1</v>
      </c>
      <c r="AS45">
        <v>6017</v>
      </c>
      <c r="CQ45">
        <v>11.50427</v>
      </c>
      <c r="EF45" s="3">
        <f t="shared" si="1"/>
        <v>1.0416666666666666E-2</v>
      </c>
    </row>
    <row r="46" spans="1:136" x14ac:dyDescent="0.25">
      <c r="A46" s="1">
        <v>6816</v>
      </c>
      <c r="B46" t="s">
        <v>284</v>
      </c>
      <c r="C46" t="s">
        <v>264</v>
      </c>
      <c r="D46" t="s">
        <v>285</v>
      </c>
      <c r="G46">
        <v>235.03870000000001</v>
      </c>
      <c r="H46">
        <v>16.093</v>
      </c>
      <c r="I46" t="s">
        <v>349</v>
      </c>
      <c r="K46" t="s">
        <v>286</v>
      </c>
      <c r="L46" t="s">
        <v>137</v>
      </c>
      <c r="M46">
        <v>18.067</v>
      </c>
      <c r="N46">
        <v>137.91999999999999</v>
      </c>
      <c r="O46">
        <v>-1</v>
      </c>
      <c r="P46">
        <v>1</v>
      </c>
      <c r="Q46">
        <v>12</v>
      </c>
      <c r="R46">
        <v>47.9</v>
      </c>
      <c r="T46" t="b">
        <v>0</v>
      </c>
      <c r="U46" t="s">
        <v>240</v>
      </c>
      <c r="V46">
        <v>235</v>
      </c>
      <c r="W46">
        <v>3.8700000000005702E-2</v>
      </c>
      <c r="X46">
        <v>235.05371316272399</v>
      </c>
      <c r="Y46">
        <v>235</v>
      </c>
      <c r="Z46">
        <v>5.3713162724164903E-2</v>
      </c>
      <c r="AA46">
        <v>41</v>
      </c>
      <c r="AB46">
        <v>26</v>
      </c>
      <c r="AC46">
        <v>3</v>
      </c>
      <c r="AD46" t="b">
        <v>1</v>
      </c>
      <c r="AE46" t="s">
        <v>212</v>
      </c>
      <c r="AF46" t="s">
        <v>143</v>
      </c>
      <c r="AG46" t="b">
        <v>0</v>
      </c>
      <c r="AH46" t="b">
        <v>1</v>
      </c>
      <c r="AI46" t="b">
        <v>1</v>
      </c>
      <c r="AJ46" t="b">
        <v>0</v>
      </c>
      <c r="AK46" t="s">
        <v>284</v>
      </c>
      <c r="AL46" t="s">
        <v>286</v>
      </c>
      <c r="AR46" t="b">
        <v>1</v>
      </c>
      <c r="AS46">
        <v>6816</v>
      </c>
      <c r="CB46">
        <v>144.999</v>
      </c>
      <c r="EF46" s="3">
        <f t="shared" si="1"/>
        <v>1.0416666666666666E-2</v>
      </c>
    </row>
    <row r="47" spans="1:136" x14ac:dyDescent="0.25">
      <c r="A47" s="1">
        <v>4547</v>
      </c>
      <c r="B47" t="s">
        <v>237</v>
      </c>
      <c r="C47" t="s">
        <v>248</v>
      </c>
      <c r="D47" t="s">
        <v>274</v>
      </c>
      <c r="G47">
        <v>259.04840000000002</v>
      </c>
      <c r="H47">
        <v>16.138000000000002</v>
      </c>
      <c r="I47" t="s">
        <v>349</v>
      </c>
      <c r="K47" t="s">
        <v>239</v>
      </c>
      <c r="L47" t="s">
        <v>137</v>
      </c>
      <c r="M47">
        <v>19.062999999999999</v>
      </c>
      <c r="N47">
        <v>144.76</v>
      </c>
      <c r="O47">
        <v>-1</v>
      </c>
      <c r="P47">
        <v>1</v>
      </c>
      <c r="Q47">
        <v>13</v>
      </c>
      <c r="R47">
        <v>42.3</v>
      </c>
      <c r="T47" t="b">
        <v>0</v>
      </c>
      <c r="U47" t="s">
        <v>240</v>
      </c>
      <c r="V47">
        <v>259</v>
      </c>
      <c r="W47">
        <v>4.8400000000015098E-2</v>
      </c>
      <c r="X47">
        <v>259.06494678902902</v>
      </c>
      <c r="Y47">
        <v>259</v>
      </c>
      <c r="Z47">
        <v>6.49467890293636E-2</v>
      </c>
      <c r="AA47">
        <v>33</v>
      </c>
      <c r="AB47">
        <v>16</v>
      </c>
      <c r="AC47">
        <v>3</v>
      </c>
      <c r="AD47" t="b">
        <v>1</v>
      </c>
      <c r="AE47" t="s">
        <v>212</v>
      </c>
      <c r="AF47" t="s">
        <v>143</v>
      </c>
      <c r="AG47" t="b">
        <v>0</v>
      </c>
      <c r="AH47" t="b">
        <v>1</v>
      </c>
      <c r="AI47" t="b">
        <v>1</v>
      </c>
      <c r="AJ47" t="b">
        <v>0</v>
      </c>
      <c r="AK47" t="s">
        <v>237</v>
      </c>
      <c r="AL47" t="s">
        <v>239</v>
      </c>
      <c r="AR47" t="b">
        <v>1</v>
      </c>
      <c r="AS47">
        <v>4547</v>
      </c>
      <c r="AV47">
        <v>287.99900000000002</v>
      </c>
      <c r="EF47" s="3">
        <f t="shared" si="1"/>
        <v>1.0416666666666666E-2</v>
      </c>
    </row>
    <row r="48" spans="1:136" x14ac:dyDescent="0.25">
      <c r="A48" s="1">
        <v>3518</v>
      </c>
      <c r="B48" t="s">
        <v>237</v>
      </c>
      <c r="C48" t="s">
        <v>145</v>
      </c>
      <c r="D48" t="s">
        <v>253</v>
      </c>
      <c r="G48">
        <v>744.94849999999997</v>
      </c>
      <c r="H48">
        <v>16.172999999999998</v>
      </c>
      <c r="I48" t="s">
        <v>349</v>
      </c>
      <c r="K48" t="s">
        <v>239</v>
      </c>
      <c r="L48" t="s">
        <v>137</v>
      </c>
      <c r="M48">
        <v>25.905999999999999</v>
      </c>
      <c r="N48">
        <v>190.44</v>
      </c>
      <c r="O48">
        <v>-1</v>
      </c>
      <c r="P48">
        <v>1</v>
      </c>
      <c r="Q48">
        <v>45</v>
      </c>
      <c r="R48">
        <v>98.3</v>
      </c>
      <c r="T48" t="b">
        <v>0</v>
      </c>
      <c r="U48" t="s">
        <v>240</v>
      </c>
      <c r="V48">
        <v>745</v>
      </c>
      <c r="W48">
        <v>-5.15000000000327E-2</v>
      </c>
      <c r="X48">
        <v>744.996083793867</v>
      </c>
      <c r="Y48">
        <v>745</v>
      </c>
      <c r="Z48">
        <v>-3.9162061327714997E-3</v>
      </c>
      <c r="AA48">
        <v>33</v>
      </c>
      <c r="AB48">
        <v>10</v>
      </c>
      <c r="AC48">
        <v>3</v>
      </c>
      <c r="AD48" t="b">
        <v>1</v>
      </c>
      <c r="AE48" t="s">
        <v>142</v>
      </c>
      <c r="AF48" t="s">
        <v>143</v>
      </c>
      <c r="AG48" t="b">
        <v>0</v>
      </c>
      <c r="AH48" t="b">
        <v>1</v>
      </c>
      <c r="AI48" t="b">
        <v>1</v>
      </c>
      <c r="AJ48" t="b">
        <v>0</v>
      </c>
      <c r="AK48" t="s">
        <v>237</v>
      </c>
      <c r="AL48" t="s">
        <v>239</v>
      </c>
      <c r="AR48" t="b">
        <v>1</v>
      </c>
      <c r="AS48">
        <v>3518</v>
      </c>
      <c r="CA48">
        <v>15.70853</v>
      </c>
      <c r="EF48" s="3">
        <f t="shared" si="1"/>
        <v>1.0416666666666666E-2</v>
      </c>
    </row>
    <row r="49" spans="1:136" x14ac:dyDescent="0.25">
      <c r="A49" s="1">
        <v>5163</v>
      </c>
      <c r="B49" t="s">
        <v>225</v>
      </c>
      <c r="C49" t="s">
        <v>134</v>
      </c>
      <c r="D49" t="s">
        <v>227</v>
      </c>
      <c r="E49" t="s">
        <v>136</v>
      </c>
      <c r="G49">
        <v>498.93310000000002</v>
      </c>
      <c r="H49">
        <v>10.459</v>
      </c>
      <c r="I49" t="s">
        <v>351</v>
      </c>
      <c r="J49" t="s">
        <v>137</v>
      </c>
      <c r="K49" t="s">
        <v>228</v>
      </c>
      <c r="L49" t="s">
        <v>137</v>
      </c>
      <c r="M49">
        <v>25.75</v>
      </c>
      <c r="N49">
        <v>190.91</v>
      </c>
      <c r="O49">
        <v>-1</v>
      </c>
      <c r="P49">
        <v>1</v>
      </c>
      <c r="Q49">
        <v>16</v>
      </c>
      <c r="R49">
        <v>98.5</v>
      </c>
      <c r="T49" t="b">
        <v>0</v>
      </c>
      <c r="U49" t="s">
        <v>229</v>
      </c>
      <c r="V49">
        <v>499</v>
      </c>
      <c r="W49">
        <v>-6.6899999999975507E-2</v>
      </c>
      <c r="X49">
        <v>498.964969491359</v>
      </c>
      <c r="Y49">
        <v>499</v>
      </c>
      <c r="Z49">
        <v>-3.5030508640602399E-2</v>
      </c>
      <c r="AA49">
        <v>34</v>
      </c>
      <c r="AB49">
        <v>11</v>
      </c>
      <c r="AC49">
        <v>3</v>
      </c>
      <c r="AD49" t="b">
        <v>1</v>
      </c>
      <c r="AE49" t="s">
        <v>142</v>
      </c>
      <c r="AF49" t="s">
        <v>165</v>
      </c>
      <c r="AG49" t="b">
        <v>0</v>
      </c>
      <c r="AH49" t="b">
        <v>1</v>
      </c>
      <c r="AI49" t="b">
        <v>1</v>
      </c>
      <c r="AJ49" t="b">
        <v>1</v>
      </c>
      <c r="AK49" t="s">
        <v>225</v>
      </c>
      <c r="AL49" t="s">
        <v>228</v>
      </c>
      <c r="AR49" t="b">
        <v>1</v>
      </c>
      <c r="AS49">
        <v>5163</v>
      </c>
      <c r="AU49">
        <v>123.5827</v>
      </c>
      <c r="AW49">
        <v>212.58269999999999</v>
      </c>
      <c r="BI49">
        <v>324.58269999999999</v>
      </c>
      <c r="BJ49">
        <v>78.582650000000001</v>
      </c>
      <c r="BL49">
        <v>57.582653800000003</v>
      </c>
      <c r="BT49">
        <v>69.582650000000001</v>
      </c>
      <c r="BX49">
        <v>22.582650000000001</v>
      </c>
      <c r="CE49">
        <v>142.58269999999999</v>
      </c>
      <c r="CF49">
        <v>192.58269999999999</v>
      </c>
      <c r="CL49">
        <v>38.582653800000003</v>
      </c>
      <c r="CP49">
        <v>59.582650000000001</v>
      </c>
      <c r="CU49">
        <v>205.58269999999999</v>
      </c>
      <c r="CV49">
        <v>98.582650000000001</v>
      </c>
      <c r="DA49">
        <v>188.58269999999999</v>
      </c>
      <c r="DL49">
        <v>215.58269999999999</v>
      </c>
      <c r="EF49" s="3">
        <f t="shared" si="1"/>
        <v>0.15625</v>
      </c>
    </row>
    <row r="50" spans="1:136" x14ac:dyDescent="0.25">
      <c r="A50" s="1">
        <v>6884</v>
      </c>
      <c r="B50" t="s">
        <v>237</v>
      </c>
      <c r="C50" t="s">
        <v>145</v>
      </c>
      <c r="D50" t="s">
        <v>273</v>
      </c>
      <c r="G50">
        <v>580.96159999999998</v>
      </c>
      <c r="H50">
        <v>11.831</v>
      </c>
      <c r="I50" t="s">
        <v>360</v>
      </c>
      <c r="K50" t="s">
        <v>239</v>
      </c>
      <c r="L50" t="s">
        <v>137</v>
      </c>
      <c r="M50">
        <v>23.827000000000002</v>
      </c>
      <c r="N50">
        <v>176.07</v>
      </c>
      <c r="O50">
        <v>-1</v>
      </c>
      <c r="P50">
        <v>1</v>
      </c>
      <c r="Q50">
        <v>12</v>
      </c>
      <c r="R50">
        <v>91</v>
      </c>
      <c r="T50" t="b">
        <v>0</v>
      </c>
      <c r="U50" t="s">
        <v>240</v>
      </c>
      <c r="V50">
        <v>581</v>
      </c>
      <c r="W50">
        <v>-3.8400000000024199E-2</v>
      </c>
      <c r="X50">
        <v>580.99870908474804</v>
      </c>
      <c r="Y50">
        <v>581</v>
      </c>
      <c r="Z50">
        <v>-1.2909152522978999E-3</v>
      </c>
      <c r="AA50">
        <v>32</v>
      </c>
      <c r="AB50">
        <v>10</v>
      </c>
      <c r="AC50">
        <v>4</v>
      </c>
      <c r="AD50" t="b">
        <v>1</v>
      </c>
      <c r="AE50" t="s">
        <v>142</v>
      </c>
      <c r="AF50" t="s">
        <v>143</v>
      </c>
      <c r="AG50" t="b">
        <v>0</v>
      </c>
      <c r="AH50" t="b">
        <v>1</v>
      </c>
      <c r="AI50" t="b">
        <v>1</v>
      </c>
      <c r="AJ50" t="b">
        <v>0</v>
      </c>
      <c r="AK50" t="s">
        <v>237</v>
      </c>
      <c r="AL50" t="s">
        <v>239</v>
      </c>
      <c r="AR50" t="b">
        <v>1</v>
      </c>
      <c r="AS50">
        <v>6884</v>
      </c>
      <c r="BC50">
        <v>93.998999999999995</v>
      </c>
      <c r="BR50">
        <v>72.998999999999995</v>
      </c>
      <c r="BU50">
        <v>282.99900000000002</v>
      </c>
      <c r="BW50">
        <v>260.99900000000002</v>
      </c>
      <c r="CF50">
        <v>58.999000000000002</v>
      </c>
      <c r="CI50">
        <v>230.999</v>
      </c>
      <c r="CY50">
        <v>262.99900000000002</v>
      </c>
      <c r="EF50" s="3">
        <f t="shared" si="1"/>
        <v>7.2916666666666671E-2</v>
      </c>
    </row>
    <row r="51" spans="1:136" x14ac:dyDescent="0.25">
      <c r="A51" s="1">
        <v>3820</v>
      </c>
      <c r="B51" t="s">
        <v>237</v>
      </c>
      <c r="C51" t="s">
        <v>189</v>
      </c>
      <c r="D51" t="s">
        <v>271</v>
      </c>
      <c r="G51">
        <v>694.95259999999996</v>
      </c>
      <c r="H51">
        <v>12.36</v>
      </c>
      <c r="I51" t="s">
        <v>360</v>
      </c>
      <c r="K51" t="s">
        <v>239</v>
      </c>
      <c r="L51" t="s">
        <v>137</v>
      </c>
      <c r="M51">
        <v>24.951000000000001</v>
      </c>
      <c r="N51">
        <v>183.65</v>
      </c>
      <c r="O51">
        <v>-1</v>
      </c>
      <c r="P51">
        <v>2</v>
      </c>
      <c r="Q51">
        <v>35</v>
      </c>
      <c r="R51">
        <v>98.5</v>
      </c>
      <c r="T51" t="b">
        <v>0</v>
      </c>
      <c r="U51" t="s">
        <v>240</v>
      </c>
      <c r="V51">
        <v>695</v>
      </c>
      <c r="W51">
        <v>-4.7400000000038703E-2</v>
      </c>
      <c r="X51">
        <v>694.996990291766</v>
      </c>
      <c r="Y51">
        <v>695</v>
      </c>
      <c r="Z51">
        <v>-3.0097082336624E-3</v>
      </c>
      <c r="AA51">
        <v>31</v>
      </c>
      <c r="AB51">
        <v>8</v>
      </c>
      <c r="AC51">
        <v>4</v>
      </c>
      <c r="AD51" t="b">
        <v>1</v>
      </c>
      <c r="AE51" t="s">
        <v>212</v>
      </c>
      <c r="AF51" t="s">
        <v>143</v>
      </c>
      <c r="AG51" t="b">
        <v>0</v>
      </c>
      <c r="AH51" t="b">
        <v>1</v>
      </c>
      <c r="AI51" t="b">
        <v>1</v>
      </c>
      <c r="AJ51" t="b">
        <v>0</v>
      </c>
      <c r="AK51" t="s">
        <v>237</v>
      </c>
      <c r="AL51" t="s">
        <v>239</v>
      </c>
      <c r="AR51" t="b">
        <v>1</v>
      </c>
      <c r="AS51">
        <v>3820</v>
      </c>
      <c r="BL51">
        <v>8.5533581000000005</v>
      </c>
      <c r="BU51">
        <v>373.55340000000001</v>
      </c>
      <c r="BW51">
        <v>279.55340000000001</v>
      </c>
      <c r="CI51">
        <v>365.55340000000001</v>
      </c>
      <c r="CQ51">
        <v>13.55336</v>
      </c>
      <c r="CY51">
        <v>330.55340000000001</v>
      </c>
      <c r="EF51" s="3">
        <f t="shared" si="1"/>
        <v>6.25E-2</v>
      </c>
    </row>
    <row r="52" spans="1:136" x14ac:dyDescent="0.25">
      <c r="A52" s="1">
        <v>1480</v>
      </c>
      <c r="B52" t="s">
        <v>237</v>
      </c>
      <c r="C52" t="s">
        <v>166</v>
      </c>
      <c r="D52" t="s">
        <v>253</v>
      </c>
      <c r="G52">
        <v>744.95119999999997</v>
      </c>
      <c r="H52">
        <v>12.824</v>
      </c>
      <c r="I52" t="s">
        <v>360</v>
      </c>
      <c r="K52" t="s">
        <v>239</v>
      </c>
      <c r="L52" t="s">
        <v>137</v>
      </c>
      <c r="M52">
        <v>25.887</v>
      </c>
      <c r="N52">
        <v>190.27</v>
      </c>
      <c r="O52">
        <v>-1</v>
      </c>
      <c r="P52">
        <v>2</v>
      </c>
      <c r="Q52">
        <v>75</v>
      </c>
      <c r="R52">
        <v>99.7</v>
      </c>
      <c r="T52" t="b">
        <v>0</v>
      </c>
      <c r="U52" t="s">
        <v>240</v>
      </c>
      <c r="V52">
        <v>745</v>
      </c>
      <c r="W52">
        <v>-4.8800000000028397E-2</v>
      </c>
      <c r="X52">
        <v>744.99878396633096</v>
      </c>
      <c r="Y52">
        <v>745</v>
      </c>
      <c r="Z52">
        <v>-1.2160336694933E-3</v>
      </c>
      <c r="AA52">
        <v>38</v>
      </c>
      <c r="AB52">
        <v>14</v>
      </c>
      <c r="AC52">
        <v>5</v>
      </c>
      <c r="AD52" t="b">
        <v>1</v>
      </c>
      <c r="AE52" t="s">
        <v>142</v>
      </c>
      <c r="AF52" t="s">
        <v>143</v>
      </c>
      <c r="AG52" t="b">
        <v>0</v>
      </c>
      <c r="AH52" t="b">
        <v>1</v>
      </c>
      <c r="AI52" t="b">
        <v>1</v>
      </c>
      <c r="AJ52" t="b">
        <v>0</v>
      </c>
      <c r="AK52" t="s">
        <v>237</v>
      </c>
      <c r="AL52" t="s">
        <v>239</v>
      </c>
      <c r="AR52" t="b">
        <v>1</v>
      </c>
      <c r="AS52">
        <v>1480</v>
      </c>
      <c r="BU52">
        <v>278.77609999999999</v>
      </c>
      <c r="BW52">
        <v>231.77610000000001</v>
      </c>
      <c r="CI52">
        <v>167.77610000000001</v>
      </c>
      <c r="CY52">
        <v>291.77609999999999</v>
      </c>
      <c r="EF52" s="3">
        <f t="shared" si="1"/>
        <v>4.1666666666666664E-2</v>
      </c>
    </row>
    <row r="53" spans="1:136" x14ac:dyDescent="0.25">
      <c r="A53" s="1">
        <v>360</v>
      </c>
      <c r="B53" t="s">
        <v>237</v>
      </c>
      <c r="C53" t="s">
        <v>166</v>
      </c>
      <c r="D53" t="s">
        <v>238</v>
      </c>
      <c r="G53">
        <v>894.94370000000004</v>
      </c>
      <c r="H53">
        <v>13.920999999999999</v>
      </c>
      <c r="I53" t="s">
        <v>360</v>
      </c>
      <c r="K53" t="s">
        <v>239</v>
      </c>
      <c r="L53" t="s">
        <v>137</v>
      </c>
      <c r="M53">
        <v>28.725999999999999</v>
      </c>
      <c r="N53">
        <v>210.47</v>
      </c>
      <c r="O53">
        <v>-1</v>
      </c>
      <c r="P53">
        <v>2</v>
      </c>
      <c r="Q53">
        <v>107</v>
      </c>
      <c r="R53">
        <v>100</v>
      </c>
      <c r="T53" t="b">
        <v>0</v>
      </c>
      <c r="U53" t="s">
        <v>240</v>
      </c>
      <c r="V53">
        <v>895</v>
      </c>
      <c r="W53">
        <v>-5.6299999999964698E-2</v>
      </c>
      <c r="X53">
        <v>895.00086477923503</v>
      </c>
      <c r="Y53">
        <v>895</v>
      </c>
      <c r="Z53">
        <v>8.6477923457549996E-4</v>
      </c>
      <c r="AA53">
        <v>38</v>
      </c>
      <c r="AB53">
        <v>14</v>
      </c>
      <c r="AC53">
        <v>5</v>
      </c>
      <c r="AD53" t="b">
        <v>1</v>
      </c>
      <c r="AE53" t="s">
        <v>142</v>
      </c>
      <c r="AF53" t="s">
        <v>143</v>
      </c>
      <c r="AG53" t="b">
        <v>0</v>
      </c>
      <c r="AH53" t="b">
        <v>1</v>
      </c>
      <c r="AI53" t="b">
        <v>1</v>
      </c>
      <c r="AJ53" t="b">
        <v>0</v>
      </c>
      <c r="AK53" t="s">
        <v>237</v>
      </c>
      <c r="AL53" t="s">
        <v>239</v>
      </c>
      <c r="AR53" t="b">
        <v>1</v>
      </c>
      <c r="AS53">
        <v>360</v>
      </c>
      <c r="BU53">
        <v>57.966169999999998</v>
      </c>
      <c r="BW53">
        <v>70.966170000000005</v>
      </c>
      <c r="DQ53">
        <v>69.966170000000005</v>
      </c>
      <c r="DT53">
        <v>102.9662</v>
      </c>
      <c r="EF53" s="3">
        <f t="shared" si="1"/>
        <v>4.1666666666666664E-2</v>
      </c>
    </row>
    <row r="54" spans="1:136" x14ac:dyDescent="0.25">
      <c r="A54" s="1">
        <v>543</v>
      </c>
      <c r="B54" t="s">
        <v>237</v>
      </c>
      <c r="C54" t="s">
        <v>166</v>
      </c>
      <c r="D54" t="s">
        <v>243</v>
      </c>
      <c r="G54">
        <v>794.94849999999997</v>
      </c>
      <c r="H54">
        <v>13.233000000000001</v>
      </c>
      <c r="I54" t="s">
        <v>360</v>
      </c>
      <c r="K54" t="s">
        <v>239</v>
      </c>
      <c r="L54" t="s">
        <v>137</v>
      </c>
      <c r="M54">
        <v>26.82</v>
      </c>
      <c r="N54">
        <v>196.89</v>
      </c>
      <c r="O54">
        <v>-1</v>
      </c>
      <c r="P54">
        <v>2</v>
      </c>
      <c r="Q54">
        <v>106</v>
      </c>
      <c r="R54">
        <v>100</v>
      </c>
      <c r="T54" t="b">
        <v>0</v>
      </c>
      <c r="U54" t="s">
        <v>240</v>
      </c>
      <c r="V54">
        <v>795</v>
      </c>
      <c r="W54">
        <v>-5.15000000000327E-2</v>
      </c>
      <c r="X54">
        <v>794.999277557857</v>
      </c>
      <c r="Y54">
        <v>795</v>
      </c>
      <c r="Z54">
        <v>-7.2244214322829999E-4</v>
      </c>
      <c r="AA54">
        <v>38</v>
      </c>
      <c r="AB54">
        <v>14</v>
      </c>
      <c r="AC54">
        <v>5</v>
      </c>
      <c r="AD54" t="b">
        <v>1</v>
      </c>
      <c r="AE54" t="s">
        <v>142</v>
      </c>
      <c r="AF54" t="s">
        <v>143</v>
      </c>
      <c r="AG54" t="b">
        <v>0</v>
      </c>
      <c r="AH54" t="b">
        <v>1</v>
      </c>
      <c r="AI54" t="b">
        <v>1</v>
      </c>
      <c r="AJ54" t="b">
        <v>0</v>
      </c>
      <c r="AK54" t="s">
        <v>237</v>
      </c>
      <c r="AL54" t="s">
        <v>239</v>
      </c>
      <c r="AR54" t="b">
        <v>1</v>
      </c>
      <c r="AS54">
        <v>543</v>
      </c>
      <c r="BU54">
        <v>56.992739999999998</v>
      </c>
      <c r="BW54">
        <v>21.992740000000001</v>
      </c>
      <c r="CY54">
        <v>4.9927450000000002</v>
      </c>
      <c r="EF54" s="3">
        <f t="shared" si="1"/>
        <v>3.125E-2</v>
      </c>
    </row>
    <row r="55" spans="1:136" x14ac:dyDescent="0.25">
      <c r="A55" s="1">
        <v>8601</v>
      </c>
      <c r="B55" t="s">
        <v>237</v>
      </c>
      <c r="C55" t="s">
        <v>193</v>
      </c>
      <c r="D55" t="s">
        <v>294</v>
      </c>
      <c r="G55">
        <v>422.98160000000001</v>
      </c>
      <c r="H55">
        <v>10.441000000000001</v>
      </c>
      <c r="I55" t="s">
        <v>350</v>
      </c>
      <c r="K55" t="s">
        <v>239</v>
      </c>
      <c r="L55" t="s">
        <v>137</v>
      </c>
      <c r="M55">
        <v>19.78</v>
      </c>
      <c r="N55">
        <v>147.4</v>
      </c>
      <c r="O55">
        <v>-1</v>
      </c>
      <c r="P55">
        <v>1</v>
      </c>
      <c r="Q55">
        <v>11</v>
      </c>
      <c r="R55">
        <v>96.5</v>
      </c>
      <c r="T55" t="b">
        <v>0</v>
      </c>
      <c r="U55" t="s">
        <v>240</v>
      </c>
      <c r="V55">
        <v>423</v>
      </c>
      <c r="W55">
        <v>-1.8399999999985501E-2</v>
      </c>
      <c r="X55">
        <v>423.00861806804602</v>
      </c>
      <c r="Y55">
        <v>423</v>
      </c>
      <c r="Z55">
        <v>8.6180680463597992E-3</v>
      </c>
      <c r="AA55">
        <v>36</v>
      </c>
      <c r="AB55">
        <v>19</v>
      </c>
      <c r="AC55">
        <v>3</v>
      </c>
      <c r="AD55" t="b">
        <v>1</v>
      </c>
      <c r="AE55" t="s">
        <v>212</v>
      </c>
      <c r="AF55" t="s">
        <v>165</v>
      </c>
      <c r="AG55" t="b">
        <v>0</v>
      </c>
      <c r="AH55" t="b">
        <v>1</v>
      </c>
      <c r="AI55" t="b">
        <v>1</v>
      </c>
      <c r="AJ55" t="b">
        <v>0</v>
      </c>
      <c r="AK55" t="s">
        <v>237</v>
      </c>
      <c r="AL55" t="s">
        <v>239</v>
      </c>
      <c r="AR55" t="b">
        <v>1</v>
      </c>
      <c r="AS55">
        <v>8601</v>
      </c>
      <c r="BF55">
        <v>20.405740000000002</v>
      </c>
      <c r="EF55" s="3">
        <f t="shared" si="1"/>
        <v>1.0416666666666666E-2</v>
      </c>
    </row>
    <row r="56" spans="1:136" x14ac:dyDescent="0.25">
      <c r="A56" s="1">
        <v>203</v>
      </c>
      <c r="B56" t="s">
        <v>230</v>
      </c>
      <c r="C56" t="s">
        <v>232</v>
      </c>
      <c r="D56" t="s">
        <v>233</v>
      </c>
      <c r="E56" t="s">
        <v>234</v>
      </c>
      <c r="F56" t="s">
        <v>235</v>
      </c>
      <c r="G56">
        <v>569.96590000000003</v>
      </c>
      <c r="H56">
        <v>12.464</v>
      </c>
      <c r="I56" t="s">
        <v>361</v>
      </c>
      <c r="J56" t="s">
        <v>137</v>
      </c>
      <c r="K56" t="s">
        <v>231</v>
      </c>
      <c r="L56" t="s">
        <v>137</v>
      </c>
      <c r="M56">
        <v>23.335999999999999</v>
      </c>
      <c r="N56">
        <v>172.46</v>
      </c>
      <c r="O56">
        <v>-1</v>
      </c>
      <c r="P56">
        <v>2</v>
      </c>
      <c r="Q56">
        <v>100</v>
      </c>
      <c r="R56">
        <v>100</v>
      </c>
      <c r="T56" t="b">
        <v>0</v>
      </c>
      <c r="U56" t="s">
        <v>236</v>
      </c>
      <c r="V56">
        <v>570</v>
      </c>
      <c r="W56">
        <v>-3.4099999999966699E-2</v>
      </c>
      <c r="X56">
        <v>570.00230673133399</v>
      </c>
      <c r="Y56">
        <v>570</v>
      </c>
      <c r="Z56">
        <v>2.3067313337604999E-3</v>
      </c>
      <c r="AA56">
        <v>37</v>
      </c>
      <c r="AB56">
        <v>22</v>
      </c>
      <c r="AC56">
        <v>2</v>
      </c>
      <c r="AD56" t="b">
        <v>1</v>
      </c>
      <c r="AE56" t="s">
        <v>142</v>
      </c>
      <c r="AF56" t="s">
        <v>143</v>
      </c>
      <c r="AG56" t="b">
        <v>0</v>
      </c>
      <c r="AH56" t="b">
        <v>1</v>
      </c>
      <c r="AI56" t="b">
        <v>0</v>
      </c>
      <c r="AJ56" t="b">
        <v>1</v>
      </c>
      <c r="AK56" t="s">
        <v>230</v>
      </c>
      <c r="AL56" t="s">
        <v>231</v>
      </c>
      <c r="AR56" t="b">
        <v>1</v>
      </c>
      <c r="AS56">
        <v>203</v>
      </c>
      <c r="BE56">
        <v>26.60622</v>
      </c>
      <c r="BI56">
        <v>195.6062</v>
      </c>
      <c r="BR56">
        <v>1191.606</v>
      </c>
      <c r="DT56">
        <v>99.606219999999993</v>
      </c>
      <c r="EB56">
        <v>848.60619999999994</v>
      </c>
      <c r="EF56" s="3">
        <f t="shared" si="1"/>
        <v>5.2083333333333336E-2</v>
      </c>
    </row>
    <row r="57" spans="1:136" x14ac:dyDescent="0.25">
      <c r="A57" s="1">
        <v>1062</v>
      </c>
      <c r="B57" t="s">
        <v>230</v>
      </c>
      <c r="C57" t="s">
        <v>248</v>
      </c>
      <c r="D57" t="s">
        <v>233</v>
      </c>
      <c r="E57" t="s">
        <v>234</v>
      </c>
      <c r="F57" t="s">
        <v>235</v>
      </c>
      <c r="G57">
        <v>569.96590000000003</v>
      </c>
      <c r="H57">
        <v>12.464</v>
      </c>
      <c r="I57" t="s">
        <v>361</v>
      </c>
      <c r="J57" t="s">
        <v>137</v>
      </c>
      <c r="K57" t="s">
        <v>231</v>
      </c>
      <c r="L57" t="s">
        <v>137</v>
      </c>
      <c r="M57">
        <v>29.242000000000001</v>
      </c>
      <c r="N57">
        <v>216.1</v>
      </c>
      <c r="O57">
        <v>-1</v>
      </c>
      <c r="P57">
        <v>1</v>
      </c>
      <c r="Q57">
        <v>82</v>
      </c>
      <c r="R57">
        <v>99</v>
      </c>
      <c r="T57" t="b">
        <v>0</v>
      </c>
      <c r="U57" t="s">
        <v>236</v>
      </c>
      <c r="V57">
        <v>570</v>
      </c>
      <c r="W57">
        <v>-3.4099999999966699E-2</v>
      </c>
      <c r="X57">
        <v>570.00230673133399</v>
      </c>
      <c r="Y57">
        <v>570</v>
      </c>
      <c r="Z57">
        <v>2.3067313337604999E-3</v>
      </c>
      <c r="AA57">
        <v>35</v>
      </c>
      <c r="AB57">
        <v>16</v>
      </c>
      <c r="AC57">
        <v>2</v>
      </c>
      <c r="AD57" t="b">
        <v>1</v>
      </c>
      <c r="AE57" t="s">
        <v>142</v>
      </c>
      <c r="AF57" t="s">
        <v>143</v>
      </c>
      <c r="AG57" t="b">
        <v>0</v>
      </c>
      <c r="AH57" t="b">
        <v>1</v>
      </c>
      <c r="AI57" t="b">
        <v>0</v>
      </c>
      <c r="AJ57" t="b">
        <v>1</v>
      </c>
      <c r="AK57" t="s">
        <v>230</v>
      </c>
      <c r="AL57" t="s">
        <v>231</v>
      </c>
      <c r="AR57" t="b">
        <v>1</v>
      </c>
      <c r="AS57">
        <v>1062</v>
      </c>
      <c r="EB57">
        <v>59.48686</v>
      </c>
      <c r="EF57" s="3">
        <f t="shared" si="1"/>
        <v>1.0416666666666666E-2</v>
      </c>
    </row>
    <row r="58" spans="1:136" x14ac:dyDescent="0.25">
      <c r="A58" s="1">
        <v>7094</v>
      </c>
      <c r="B58" t="s">
        <v>230</v>
      </c>
      <c r="C58" t="s">
        <v>181</v>
      </c>
      <c r="D58" t="s">
        <v>227</v>
      </c>
      <c r="E58" t="s">
        <v>136</v>
      </c>
      <c r="G58">
        <v>498.93189999999998</v>
      </c>
      <c r="H58">
        <v>0.38800000000000001</v>
      </c>
      <c r="I58" t="s">
        <v>341</v>
      </c>
      <c r="J58" t="s">
        <v>137</v>
      </c>
      <c r="K58" t="s">
        <v>231</v>
      </c>
      <c r="L58" t="s">
        <v>137</v>
      </c>
      <c r="M58">
        <v>25.785</v>
      </c>
      <c r="N58">
        <v>191.21</v>
      </c>
      <c r="O58">
        <v>-1</v>
      </c>
      <c r="P58">
        <v>1</v>
      </c>
      <c r="Q58">
        <v>18</v>
      </c>
      <c r="R58">
        <v>98.8</v>
      </c>
      <c r="T58" t="b">
        <v>0</v>
      </c>
      <c r="U58" t="s">
        <v>229</v>
      </c>
      <c r="V58">
        <v>499</v>
      </c>
      <c r="W58">
        <v>-6.8100000000015398E-2</v>
      </c>
      <c r="X58">
        <v>498.96376941470902</v>
      </c>
      <c r="Y58">
        <v>499</v>
      </c>
      <c r="Z58">
        <v>-3.6230585290979903E-2</v>
      </c>
      <c r="AA58">
        <v>32</v>
      </c>
      <c r="AB58">
        <v>0</v>
      </c>
      <c r="AC58">
        <v>0</v>
      </c>
      <c r="AD58" t="b">
        <v>1</v>
      </c>
      <c r="AG58" t="b">
        <v>0</v>
      </c>
      <c r="AH58" t="b">
        <v>0</v>
      </c>
      <c r="AI58" t="b">
        <v>0</v>
      </c>
      <c r="AJ58" t="b">
        <v>1</v>
      </c>
      <c r="AK58" t="s">
        <v>230</v>
      </c>
      <c r="AL58" t="s">
        <v>231</v>
      </c>
      <c r="AR58" t="b">
        <v>1</v>
      </c>
      <c r="AS58">
        <v>7094</v>
      </c>
      <c r="AT58">
        <v>14.582649999999999</v>
      </c>
      <c r="BA58">
        <v>117.5827</v>
      </c>
      <c r="BH58">
        <v>96.582650000000001</v>
      </c>
      <c r="BM58">
        <v>29.582650000000001</v>
      </c>
      <c r="BN58">
        <v>9.5826539999999998</v>
      </c>
      <c r="BR58">
        <v>36.582650000000001</v>
      </c>
      <c r="BY58">
        <v>56.582650000000001</v>
      </c>
      <c r="CB58">
        <v>19.582650000000001</v>
      </c>
      <c r="CC58">
        <v>53.582650000000001</v>
      </c>
      <c r="CI58">
        <v>35.582650000000001</v>
      </c>
      <c r="CR58">
        <v>37.582650000000001</v>
      </c>
      <c r="DI58">
        <v>47.582653800000003</v>
      </c>
      <c r="DR58">
        <v>49.582650000000001</v>
      </c>
      <c r="DX58">
        <v>44.582650000000001</v>
      </c>
      <c r="ED58">
        <v>24.582650000000001</v>
      </c>
      <c r="EF58" s="3">
        <f t="shared" si="1"/>
        <v>0.15625</v>
      </c>
    </row>
    <row r="59" spans="1:136" x14ac:dyDescent="0.25">
      <c r="A59" s="1">
        <v>5709</v>
      </c>
      <c r="B59" t="s">
        <v>237</v>
      </c>
      <c r="C59" t="s">
        <v>193</v>
      </c>
      <c r="D59" t="s">
        <v>281</v>
      </c>
      <c r="G59">
        <v>407.02780000000001</v>
      </c>
      <c r="H59">
        <v>0.39300000000000002</v>
      </c>
      <c r="I59" t="s">
        <v>341</v>
      </c>
      <c r="K59" t="s">
        <v>239</v>
      </c>
      <c r="L59" t="s">
        <v>137</v>
      </c>
      <c r="M59">
        <v>24.364000000000001</v>
      </c>
      <c r="N59">
        <v>181.72</v>
      </c>
      <c r="O59">
        <v>-1</v>
      </c>
      <c r="P59">
        <v>1</v>
      </c>
      <c r="Q59">
        <v>14</v>
      </c>
      <c r="R59">
        <v>96.5</v>
      </c>
      <c r="T59" t="b">
        <v>0</v>
      </c>
      <c r="U59" t="s">
        <v>240</v>
      </c>
      <c r="V59">
        <v>407</v>
      </c>
      <c r="W59">
        <v>2.7800000000013401E-2</v>
      </c>
      <c r="X59">
        <v>407.05379901460799</v>
      </c>
      <c r="Y59">
        <v>407</v>
      </c>
      <c r="Z59">
        <v>5.3799014607648098E-2</v>
      </c>
      <c r="AA59">
        <v>40</v>
      </c>
      <c r="AB59">
        <v>19</v>
      </c>
      <c r="AC59">
        <v>3</v>
      </c>
      <c r="AD59" t="b">
        <v>1</v>
      </c>
      <c r="AE59" t="s">
        <v>212</v>
      </c>
      <c r="AF59" t="s">
        <v>143</v>
      </c>
      <c r="AG59" t="b">
        <v>0</v>
      </c>
      <c r="AH59" t="b">
        <v>1</v>
      </c>
      <c r="AI59" t="b">
        <v>1</v>
      </c>
      <c r="AJ59" t="b">
        <v>0</v>
      </c>
      <c r="AK59" t="s">
        <v>237</v>
      </c>
      <c r="AL59" t="s">
        <v>239</v>
      </c>
      <c r="AR59" t="b">
        <v>1</v>
      </c>
      <c r="AS59">
        <v>5709</v>
      </c>
      <c r="DP59">
        <v>200.999</v>
      </c>
      <c r="DV59">
        <v>101.999</v>
      </c>
      <c r="EF59" s="3">
        <f t="shared" si="1"/>
        <v>2.0833333333333332E-2</v>
      </c>
    </row>
    <row r="60" spans="1:136" x14ac:dyDescent="0.25">
      <c r="A60" s="1">
        <v>6489</v>
      </c>
      <c r="B60" t="s">
        <v>237</v>
      </c>
      <c r="C60" t="s">
        <v>189</v>
      </c>
      <c r="D60" t="s">
        <v>282</v>
      </c>
      <c r="G60">
        <v>594.96709999999996</v>
      </c>
      <c r="H60">
        <v>0.39200000000000002</v>
      </c>
      <c r="I60" t="s">
        <v>341</v>
      </c>
      <c r="K60" t="s">
        <v>239</v>
      </c>
      <c r="L60" t="s">
        <v>137</v>
      </c>
      <c r="M60">
        <v>28.564</v>
      </c>
      <c r="N60">
        <v>210.95</v>
      </c>
      <c r="O60">
        <v>-1</v>
      </c>
      <c r="P60">
        <v>2</v>
      </c>
      <c r="Q60">
        <v>15</v>
      </c>
      <c r="R60">
        <v>89.5</v>
      </c>
      <c r="T60" t="b">
        <v>0</v>
      </c>
      <c r="U60" t="s">
        <v>240</v>
      </c>
      <c r="V60">
        <v>595</v>
      </c>
      <c r="W60">
        <v>-3.2900000000040598E-2</v>
      </c>
      <c r="X60">
        <v>595.00510368997902</v>
      </c>
      <c r="Y60">
        <v>595</v>
      </c>
      <c r="Z60">
        <v>5.1036899787959E-3</v>
      </c>
      <c r="AA60">
        <v>36</v>
      </c>
      <c r="AB60">
        <v>8</v>
      </c>
      <c r="AC60">
        <v>3</v>
      </c>
      <c r="AD60" t="b">
        <v>1</v>
      </c>
      <c r="AE60" t="s">
        <v>142</v>
      </c>
      <c r="AF60" t="s">
        <v>143</v>
      </c>
      <c r="AG60" t="b">
        <v>0</v>
      </c>
      <c r="AH60" t="b">
        <v>1</v>
      </c>
      <c r="AI60" t="b">
        <v>1</v>
      </c>
      <c r="AJ60" t="b">
        <v>0</v>
      </c>
      <c r="AK60" t="s">
        <v>237</v>
      </c>
      <c r="AL60" t="s">
        <v>239</v>
      </c>
      <c r="AR60" t="b">
        <v>1</v>
      </c>
      <c r="AS60">
        <v>6489</v>
      </c>
      <c r="AT60">
        <v>127.999</v>
      </c>
      <c r="EF60" s="3">
        <f t="shared" si="1"/>
        <v>1.0416666666666666E-2</v>
      </c>
    </row>
    <row r="61" spans="1:136" x14ac:dyDescent="0.25">
      <c r="A61" s="1">
        <v>2938</v>
      </c>
      <c r="B61" t="s">
        <v>225</v>
      </c>
      <c r="C61" t="s">
        <v>192</v>
      </c>
      <c r="D61" t="s">
        <v>251</v>
      </c>
      <c r="E61" t="s">
        <v>174</v>
      </c>
      <c r="G61">
        <v>548.92769999999996</v>
      </c>
      <c r="H61">
        <v>0.39300000000000002</v>
      </c>
      <c r="I61" t="s">
        <v>341</v>
      </c>
      <c r="J61" t="s">
        <v>137</v>
      </c>
      <c r="K61" t="s">
        <v>228</v>
      </c>
      <c r="L61" t="s">
        <v>137</v>
      </c>
      <c r="M61">
        <v>27.241</v>
      </c>
      <c r="N61">
        <v>201.48</v>
      </c>
      <c r="O61">
        <v>-1</v>
      </c>
      <c r="P61">
        <v>1</v>
      </c>
      <c r="Q61">
        <v>48</v>
      </c>
      <c r="R61">
        <v>94.7</v>
      </c>
      <c r="T61" t="b">
        <v>0</v>
      </c>
      <c r="U61" t="s">
        <v>252</v>
      </c>
      <c r="V61">
        <v>549</v>
      </c>
      <c r="W61">
        <v>-7.2300000000041095E-2</v>
      </c>
      <c r="X61">
        <v>548.96276291042204</v>
      </c>
      <c r="Y61">
        <v>549</v>
      </c>
      <c r="Z61">
        <v>-3.7237089577615699E-2</v>
      </c>
      <c r="AA61">
        <v>32</v>
      </c>
      <c r="AB61">
        <v>9</v>
      </c>
      <c r="AC61">
        <v>4</v>
      </c>
      <c r="AD61" t="b">
        <v>1</v>
      </c>
      <c r="AE61" t="s">
        <v>142</v>
      </c>
      <c r="AF61" t="s">
        <v>165</v>
      </c>
      <c r="AG61" t="b">
        <v>0</v>
      </c>
      <c r="AH61" t="b">
        <v>1</v>
      </c>
      <c r="AI61" t="b">
        <v>1</v>
      </c>
      <c r="AJ61" t="b">
        <v>1</v>
      </c>
      <c r="AK61" t="s">
        <v>225</v>
      </c>
      <c r="AL61" t="s">
        <v>228</v>
      </c>
      <c r="AR61" t="b">
        <v>1</v>
      </c>
      <c r="AS61">
        <v>2938</v>
      </c>
      <c r="BA61">
        <v>51.134399999999999</v>
      </c>
      <c r="EF61" s="3">
        <f t="shared" si="1"/>
        <v>1.0416666666666666E-2</v>
      </c>
    </row>
    <row r="62" spans="1:136" x14ac:dyDescent="0.25">
      <c r="A62" s="1">
        <v>7475</v>
      </c>
      <c r="B62" t="s">
        <v>237</v>
      </c>
      <c r="C62" t="s">
        <v>145</v>
      </c>
      <c r="D62" t="s">
        <v>290</v>
      </c>
      <c r="G62">
        <v>624.97580000000005</v>
      </c>
      <c r="H62">
        <v>0.4</v>
      </c>
      <c r="I62" t="s">
        <v>341</v>
      </c>
      <c r="K62" t="s">
        <v>239</v>
      </c>
      <c r="L62" t="s">
        <v>137</v>
      </c>
      <c r="M62">
        <v>29.236000000000001</v>
      </c>
      <c r="N62">
        <v>215.6</v>
      </c>
      <c r="O62">
        <v>-1</v>
      </c>
      <c r="P62">
        <v>1</v>
      </c>
      <c r="Q62">
        <v>13</v>
      </c>
      <c r="R62">
        <v>78.5</v>
      </c>
      <c r="T62" t="b">
        <v>0</v>
      </c>
      <c r="U62" t="s">
        <v>240</v>
      </c>
      <c r="V62">
        <v>625</v>
      </c>
      <c r="W62">
        <v>-2.4199999999950698E-2</v>
      </c>
      <c r="X62">
        <v>625.01572050408799</v>
      </c>
      <c r="Y62">
        <v>625</v>
      </c>
      <c r="Z62">
        <v>1.5720504087539701E-2</v>
      </c>
      <c r="AA62">
        <v>40</v>
      </c>
      <c r="AB62">
        <v>10</v>
      </c>
      <c r="AC62">
        <v>3</v>
      </c>
      <c r="AD62" t="b">
        <v>1</v>
      </c>
      <c r="AE62" t="s">
        <v>212</v>
      </c>
      <c r="AF62" t="s">
        <v>143</v>
      </c>
      <c r="AG62" t="b">
        <v>0</v>
      </c>
      <c r="AH62" t="b">
        <v>1</v>
      </c>
      <c r="AI62" t="b">
        <v>1</v>
      </c>
      <c r="AJ62" t="b">
        <v>0</v>
      </c>
      <c r="AK62" t="s">
        <v>237</v>
      </c>
      <c r="AL62" t="s">
        <v>239</v>
      </c>
      <c r="AR62" t="b">
        <v>1</v>
      </c>
      <c r="AS62">
        <v>7475</v>
      </c>
      <c r="CI62">
        <v>27.542719999999999</v>
      </c>
      <c r="EF62" s="3">
        <f t="shared" si="1"/>
        <v>1.0416666666666666E-2</v>
      </c>
    </row>
    <row r="63" spans="1:136" x14ac:dyDescent="0.25">
      <c r="A63" s="1">
        <v>6974</v>
      </c>
      <c r="B63" t="s">
        <v>237</v>
      </c>
      <c r="C63" t="s">
        <v>287</v>
      </c>
      <c r="D63" t="s">
        <v>288</v>
      </c>
      <c r="G63">
        <v>215.03309999999999</v>
      </c>
      <c r="H63">
        <v>0.57399999999999995</v>
      </c>
      <c r="I63" t="s">
        <v>341</v>
      </c>
      <c r="K63" t="s">
        <v>239</v>
      </c>
      <c r="L63" t="s">
        <v>137</v>
      </c>
      <c r="M63">
        <v>12.593999999999999</v>
      </c>
      <c r="N63">
        <v>96.59</v>
      </c>
      <c r="O63">
        <v>-1</v>
      </c>
      <c r="P63">
        <v>1</v>
      </c>
      <c r="Q63">
        <v>14</v>
      </c>
      <c r="R63">
        <v>76.7</v>
      </c>
      <c r="T63" t="b">
        <v>0</v>
      </c>
      <c r="U63" t="s">
        <v>240</v>
      </c>
      <c r="V63">
        <v>215</v>
      </c>
      <c r="W63">
        <v>3.3099999999990401E-2</v>
      </c>
      <c r="X63">
        <v>215.04683529942699</v>
      </c>
      <c r="Y63">
        <v>215</v>
      </c>
      <c r="Z63">
        <v>4.6835299426760499E-2</v>
      </c>
      <c r="AA63">
        <v>40</v>
      </c>
      <c r="AB63">
        <v>23</v>
      </c>
      <c r="AC63">
        <v>3</v>
      </c>
      <c r="AD63" t="b">
        <v>1</v>
      </c>
      <c r="AE63" t="s">
        <v>212</v>
      </c>
      <c r="AF63" t="s">
        <v>165</v>
      </c>
      <c r="AG63" t="b">
        <v>0</v>
      </c>
      <c r="AH63" t="b">
        <v>1</v>
      </c>
      <c r="AI63" t="b">
        <v>1</v>
      </c>
      <c r="AJ63" t="b">
        <v>0</v>
      </c>
      <c r="AK63" t="s">
        <v>237</v>
      </c>
      <c r="AL63" t="s">
        <v>239</v>
      </c>
      <c r="AR63" t="b">
        <v>1</v>
      </c>
      <c r="AS63">
        <v>6974</v>
      </c>
      <c r="BF63">
        <v>72.912149999999997</v>
      </c>
      <c r="EF63" s="3">
        <f t="shared" si="1"/>
        <v>1.0416666666666666E-2</v>
      </c>
    </row>
  </sheetData>
  <sortState xmlns:xlrd2="http://schemas.microsoft.com/office/spreadsheetml/2017/richdata2" ref="A2:EF63">
    <sortCondition ref="I2:I63"/>
  </sortState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H150"/>
  <sheetViews>
    <sheetView zoomScaleNormal="100" workbookViewId="0">
      <selection activeCell="I22" sqref="I22"/>
    </sheetView>
  </sheetViews>
  <sheetFormatPr defaultRowHeight="15" x14ac:dyDescent="0.25"/>
  <cols>
    <col min="9" max="9" width="28.42578125" customWidth="1"/>
  </cols>
  <sheetData>
    <row r="1" spans="1:13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340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219</v>
      </c>
      <c r="AS1" s="1" t="s">
        <v>0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297</v>
      </c>
      <c r="BG1" s="1" t="s">
        <v>55</v>
      </c>
      <c r="BH1" s="1" t="s">
        <v>56</v>
      </c>
      <c r="BI1" s="1" t="s">
        <v>57</v>
      </c>
      <c r="BJ1" s="1" t="s">
        <v>220</v>
      </c>
      <c r="BK1" s="1" t="s">
        <v>58</v>
      </c>
      <c r="BL1" s="1" t="s">
        <v>59</v>
      </c>
      <c r="BM1" s="1" t="s">
        <v>221</v>
      </c>
      <c r="BN1" s="1" t="s">
        <v>60</v>
      </c>
      <c r="BO1" s="1" t="s">
        <v>61</v>
      </c>
      <c r="BP1" s="1" t="s">
        <v>62</v>
      </c>
      <c r="BQ1" s="1" t="s">
        <v>63</v>
      </c>
      <c r="BR1" s="1" t="s">
        <v>64</v>
      </c>
      <c r="BS1" s="1" t="s">
        <v>65</v>
      </c>
      <c r="BT1" s="1" t="s">
        <v>66</v>
      </c>
      <c r="BU1" s="1" t="s">
        <v>67</v>
      </c>
      <c r="BV1" s="1" t="s">
        <v>68</v>
      </c>
      <c r="BW1" s="1" t="s">
        <v>69</v>
      </c>
      <c r="BX1" s="1" t="s">
        <v>70</v>
      </c>
      <c r="BY1" s="1" t="s">
        <v>71</v>
      </c>
      <c r="BZ1" s="1" t="s">
        <v>72</v>
      </c>
      <c r="CA1" s="1" t="s">
        <v>73</v>
      </c>
      <c r="CB1" s="1" t="s">
        <v>74</v>
      </c>
      <c r="CC1" s="1" t="s">
        <v>75</v>
      </c>
      <c r="CD1" s="1" t="s">
        <v>223</v>
      </c>
      <c r="CE1" s="1" t="s">
        <v>76</v>
      </c>
      <c r="CF1" s="1" t="s">
        <v>77</v>
      </c>
      <c r="CG1" s="1" t="s">
        <v>78</v>
      </c>
      <c r="CH1" s="1" t="s">
        <v>79</v>
      </c>
      <c r="CI1" s="1" t="s">
        <v>80</v>
      </c>
      <c r="CJ1" s="1" t="s">
        <v>81</v>
      </c>
      <c r="CK1" s="1" t="s">
        <v>82</v>
      </c>
      <c r="CL1" s="1" t="s">
        <v>83</v>
      </c>
      <c r="CM1" s="1" t="s">
        <v>84</v>
      </c>
      <c r="CN1" s="1" t="s">
        <v>85</v>
      </c>
      <c r="CO1" s="1" t="s">
        <v>86</v>
      </c>
      <c r="CP1" s="1" t="s">
        <v>87</v>
      </c>
      <c r="CQ1" s="1" t="s">
        <v>88</v>
      </c>
      <c r="CR1" s="1" t="s">
        <v>89</v>
      </c>
      <c r="CS1" s="1" t="s">
        <v>91</v>
      </c>
      <c r="CT1" s="1" t="s">
        <v>92</v>
      </c>
      <c r="CU1" s="1" t="s">
        <v>93</v>
      </c>
      <c r="CV1" s="1" t="s">
        <v>94</v>
      </c>
      <c r="CW1" s="1" t="s">
        <v>95</v>
      </c>
      <c r="CX1" s="1" t="s">
        <v>96</v>
      </c>
      <c r="CY1" s="1" t="s">
        <v>97</v>
      </c>
      <c r="CZ1" s="1" t="s">
        <v>224</v>
      </c>
      <c r="DA1" s="1" t="s">
        <v>98</v>
      </c>
      <c r="DB1" s="1" t="s">
        <v>99</v>
      </c>
      <c r="DC1" s="1" t="s">
        <v>100</v>
      </c>
      <c r="DD1" s="1" t="s">
        <v>101</v>
      </c>
      <c r="DE1" s="1" t="s">
        <v>102</v>
      </c>
      <c r="DF1" s="1" t="s">
        <v>103</v>
      </c>
      <c r="DG1" s="1" t="s">
        <v>104</v>
      </c>
      <c r="DH1" s="1" t="s">
        <v>105</v>
      </c>
      <c r="DI1" s="1" t="s">
        <v>106</v>
      </c>
      <c r="DJ1" s="1" t="s">
        <v>107</v>
      </c>
      <c r="DK1" s="1" t="s">
        <v>108</v>
      </c>
      <c r="DL1" s="1" t="s">
        <v>109</v>
      </c>
      <c r="DM1" s="1" t="s">
        <v>110</v>
      </c>
      <c r="DN1" s="1" t="s">
        <v>111</v>
      </c>
      <c r="DO1" s="1" t="s">
        <v>112</v>
      </c>
      <c r="DP1" s="1" t="s">
        <v>113</v>
      </c>
      <c r="DQ1" s="1" t="s">
        <v>115</v>
      </c>
      <c r="DR1" s="1" t="s">
        <v>116</v>
      </c>
      <c r="DS1" s="1" t="s">
        <v>117</v>
      </c>
      <c r="DT1" s="1" t="s">
        <v>118</v>
      </c>
      <c r="DU1" s="1" t="s">
        <v>119</v>
      </c>
      <c r="DV1" s="1" t="s">
        <v>120</v>
      </c>
      <c r="DW1" s="1" t="s">
        <v>121</v>
      </c>
      <c r="DX1" s="1" t="s">
        <v>122</v>
      </c>
      <c r="DY1" s="1" t="s">
        <v>123</v>
      </c>
      <c r="DZ1" s="1" t="s">
        <v>124</v>
      </c>
      <c r="EA1" s="1" t="s">
        <v>125</v>
      </c>
      <c r="EB1" s="1" t="s">
        <v>126</v>
      </c>
      <c r="EC1" s="1" t="s">
        <v>127</v>
      </c>
      <c r="ED1" s="1" t="s">
        <v>128</v>
      </c>
      <c r="EE1" s="1" t="s">
        <v>129</v>
      </c>
      <c r="EF1" s="1" t="s">
        <v>131</v>
      </c>
      <c r="EG1" s="1" t="s">
        <v>132</v>
      </c>
      <c r="EH1" s="2" t="s">
        <v>336</v>
      </c>
    </row>
    <row r="2" spans="1:138" x14ac:dyDescent="0.25">
      <c r="A2" s="1">
        <v>1599</v>
      </c>
      <c r="B2" t="s">
        <v>225</v>
      </c>
      <c r="C2" t="s">
        <v>152</v>
      </c>
      <c r="D2" t="s">
        <v>161</v>
      </c>
      <c r="E2" t="s">
        <v>162</v>
      </c>
      <c r="F2" t="s">
        <v>163</v>
      </c>
      <c r="G2">
        <v>568.96220000000005</v>
      </c>
      <c r="H2">
        <v>12.464</v>
      </c>
      <c r="I2" t="s">
        <v>379</v>
      </c>
      <c r="J2" t="s">
        <v>137</v>
      </c>
      <c r="K2" t="s">
        <v>228</v>
      </c>
      <c r="L2" t="s">
        <v>137</v>
      </c>
      <c r="M2">
        <v>29.256</v>
      </c>
      <c r="N2">
        <v>216.24</v>
      </c>
      <c r="O2">
        <v>-1</v>
      </c>
      <c r="P2">
        <v>2</v>
      </c>
      <c r="Q2">
        <v>47</v>
      </c>
      <c r="R2">
        <v>99.6</v>
      </c>
      <c r="T2" t="b">
        <v>0</v>
      </c>
      <c r="U2" t="s">
        <v>311</v>
      </c>
      <c r="V2">
        <v>569</v>
      </c>
      <c r="W2">
        <v>-3.7799999999947403E-2</v>
      </c>
      <c r="X2">
        <v>568.99854261971495</v>
      </c>
      <c r="Y2">
        <v>569</v>
      </c>
      <c r="Z2">
        <v>-1.4573802845915999E-3</v>
      </c>
      <c r="AA2">
        <v>35</v>
      </c>
      <c r="AB2">
        <v>7</v>
      </c>
      <c r="AC2">
        <v>2</v>
      </c>
      <c r="AD2" t="b">
        <v>1</v>
      </c>
      <c r="AE2" t="s">
        <v>142</v>
      </c>
      <c r="AF2" t="s">
        <v>143</v>
      </c>
      <c r="AG2" t="b">
        <v>0</v>
      </c>
      <c r="AH2" t="b">
        <v>1</v>
      </c>
      <c r="AI2" t="b">
        <v>0</v>
      </c>
      <c r="AJ2" t="b">
        <v>1</v>
      </c>
      <c r="AK2" t="s">
        <v>225</v>
      </c>
      <c r="AL2" t="s">
        <v>228</v>
      </c>
      <c r="AR2" t="b">
        <v>0</v>
      </c>
      <c r="AS2">
        <v>1599</v>
      </c>
      <c r="AT2">
        <v>90.998999999999995</v>
      </c>
      <c r="AU2">
        <v>151.999</v>
      </c>
      <c r="AW2">
        <v>264.99900000000002</v>
      </c>
      <c r="AY2">
        <v>118.999</v>
      </c>
      <c r="AZ2">
        <v>545.99900000000002</v>
      </c>
      <c r="BA2">
        <v>200.999</v>
      </c>
      <c r="BE2">
        <v>77.998999999999995</v>
      </c>
      <c r="BG2">
        <v>257.99900000000002</v>
      </c>
      <c r="BH2">
        <v>113.999</v>
      </c>
      <c r="BK2">
        <v>427.99900000000002</v>
      </c>
      <c r="BL2">
        <v>205.999</v>
      </c>
      <c r="BO2">
        <v>371.99900000000002</v>
      </c>
      <c r="BR2">
        <v>142.999</v>
      </c>
      <c r="BU2">
        <v>276.99900000000002</v>
      </c>
      <c r="BX2">
        <v>143.999</v>
      </c>
      <c r="BY2">
        <v>174.999</v>
      </c>
      <c r="BZ2">
        <v>258.99900000000002</v>
      </c>
      <c r="CC2">
        <v>88.998999999999995</v>
      </c>
      <c r="CE2">
        <v>321.99900000000002</v>
      </c>
      <c r="CF2">
        <v>330.99900000000002</v>
      </c>
      <c r="CG2">
        <v>419.99900000000002</v>
      </c>
      <c r="CH2">
        <v>110.999</v>
      </c>
      <c r="CI2">
        <v>278.99900000000002</v>
      </c>
      <c r="CK2">
        <v>165.999</v>
      </c>
      <c r="CR2">
        <v>128.999</v>
      </c>
      <c r="CS2">
        <v>559.99900000000002</v>
      </c>
      <c r="CT2">
        <v>431.99900000000002</v>
      </c>
      <c r="CU2">
        <v>379.99900000000002</v>
      </c>
      <c r="CV2">
        <v>375.99900000000002</v>
      </c>
      <c r="CW2">
        <v>1070.999</v>
      </c>
      <c r="CX2">
        <v>321.99900000000002</v>
      </c>
      <c r="CY2">
        <v>234.999</v>
      </c>
      <c r="DB2">
        <v>150.999</v>
      </c>
      <c r="DC2">
        <v>319.99900000000002</v>
      </c>
      <c r="DE2">
        <v>362.99900000000002</v>
      </c>
      <c r="DF2">
        <v>233.999</v>
      </c>
      <c r="DI2">
        <v>228.999</v>
      </c>
      <c r="DJ2">
        <v>354.99900000000002</v>
      </c>
      <c r="DK2">
        <v>133.999</v>
      </c>
      <c r="DL2">
        <v>296.99900000000002</v>
      </c>
      <c r="DM2">
        <v>134.999</v>
      </c>
      <c r="DN2">
        <v>222.999</v>
      </c>
      <c r="DO2">
        <v>244.999</v>
      </c>
      <c r="DQ2">
        <v>94.998999999999995</v>
      </c>
      <c r="EF2">
        <v>66.998999999999995</v>
      </c>
      <c r="EG2">
        <v>169.999</v>
      </c>
      <c r="EH2" s="3">
        <f t="shared" ref="EH2:EH33" si="0">COUNT(AT2:EG2)/96</f>
        <v>0.47916666666666669</v>
      </c>
    </row>
    <row r="3" spans="1:138" x14ac:dyDescent="0.25">
      <c r="A3" s="1">
        <v>110</v>
      </c>
      <c r="B3" t="s">
        <v>225</v>
      </c>
      <c r="C3" t="s">
        <v>152</v>
      </c>
      <c r="D3" t="s">
        <v>153</v>
      </c>
      <c r="E3" t="s">
        <v>154</v>
      </c>
      <c r="F3" t="s">
        <v>155</v>
      </c>
      <c r="G3">
        <v>468.9692</v>
      </c>
      <c r="H3">
        <v>11.222</v>
      </c>
      <c r="I3" t="s">
        <v>379</v>
      </c>
      <c r="J3" t="s">
        <v>137</v>
      </c>
      <c r="K3" t="s">
        <v>228</v>
      </c>
      <c r="L3" t="s">
        <v>137</v>
      </c>
      <c r="M3">
        <v>23.486999999999998</v>
      </c>
      <c r="N3">
        <v>174.45</v>
      </c>
      <c r="O3">
        <v>-1</v>
      </c>
      <c r="P3">
        <v>2</v>
      </c>
      <c r="Q3">
        <v>106</v>
      </c>
      <c r="R3">
        <v>100</v>
      </c>
      <c r="T3" t="b">
        <v>0</v>
      </c>
      <c r="U3" t="s">
        <v>298</v>
      </c>
      <c r="V3">
        <v>469</v>
      </c>
      <c r="W3">
        <v>-3.07999999999993E-2</v>
      </c>
      <c r="X3">
        <v>468.99915553886302</v>
      </c>
      <c r="Y3">
        <v>469</v>
      </c>
      <c r="Z3">
        <v>-8.4446113675080005E-4</v>
      </c>
      <c r="AA3">
        <v>35</v>
      </c>
      <c r="AB3">
        <v>7</v>
      </c>
      <c r="AC3">
        <v>2</v>
      </c>
      <c r="AD3" t="b">
        <v>1</v>
      </c>
      <c r="AE3" t="s">
        <v>142</v>
      </c>
      <c r="AF3" t="s">
        <v>143</v>
      </c>
      <c r="AG3" t="b">
        <v>0</v>
      </c>
      <c r="AH3" t="b">
        <v>1</v>
      </c>
      <c r="AI3" t="b">
        <v>0</v>
      </c>
      <c r="AJ3" t="b">
        <v>1</v>
      </c>
      <c r="AK3" t="s">
        <v>225</v>
      </c>
      <c r="AL3" t="s">
        <v>228</v>
      </c>
      <c r="AR3" t="b">
        <v>0</v>
      </c>
      <c r="AS3">
        <v>110</v>
      </c>
      <c r="AT3">
        <v>1261.8610000000001</v>
      </c>
      <c r="AU3">
        <v>5194.8609999999999</v>
      </c>
      <c r="AW3">
        <v>35.860509999999998</v>
      </c>
      <c r="AX3">
        <v>3202.8609999999999</v>
      </c>
      <c r="AY3">
        <v>4765.8609999999999</v>
      </c>
      <c r="AZ3">
        <v>2268.8609999999999</v>
      </c>
      <c r="BC3">
        <v>364.8605</v>
      </c>
      <c r="BG3">
        <v>68.860510000000005</v>
      </c>
      <c r="BH3">
        <v>2082.8609999999999</v>
      </c>
      <c r="BI3">
        <v>745.8605</v>
      </c>
      <c r="BK3">
        <v>3604.8609999999999</v>
      </c>
      <c r="BS3">
        <v>1386.8610000000001</v>
      </c>
      <c r="BU3">
        <v>664.8605</v>
      </c>
      <c r="BZ3">
        <v>2207.8609999999999</v>
      </c>
      <c r="CE3">
        <v>62.860509999999998</v>
      </c>
      <c r="CF3">
        <v>1636.8610000000001</v>
      </c>
      <c r="CG3">
        <v>1959.8610000000001</v>
      </c>
      <c r="CH3">
        <v>286.8605</v>
      </c>
      <c r="CI3">
        <v>1659.8610000000001</v>
      </c>
      <c r="CS3">
        <v>4848.8609999999999</v>
      </c>
      <c r="CT3">
        <v>2757.8609999999999</v>
      </c>
      <c r="CU3">
        <v>1870.8610000000001</v>
      </c>
      <c r="CV3">
        <v>1120.8610000000001</v>
      </c>
      <c r="CW3">
        <v>5485.8609999999999</v>
      </c>
      <c r="CX3">
        <v>214.8605</v>
      </c>
      <c r="DC3">
        <v>1221.8610000000001</v>
      </c>
      <c r="DE3">
        <v>1484.8610000000001</v>
      </c>
      <c r="DI3">
        <v>340.8605</v>
      </c>
      <c r="DJ3">
        <v>2364.8609999999999</v>
      </c>
      <c r="DL3">
        <v>2502.8609999999999</v>
      </c>
      <c r="DN3">
        <v>2508.8609999999999</v>
      </c>
      <c r="DO3">
        <v>476.8605</v>
      </c>
      <c r="DR3">
        <v>3521.8609999999999</v>
      </c>
      <c r="DS3">
        <v>502.8605</v>
      </c>
      <c r="DU3">
        <v>170.8605</v>
      </c>
      <c r="DV3">
        <v>3149.8609999999999</v>
      </c>
      <c r="DX3">
        <v>811.86050560000001</v>
      </c>
      <c r="DZ3">
        <v>1726.8610000000001</v>
      </c>
      <c r="EB3">
        <v>6678.8609999999999</v>
      </c>
      <c r="ED3">
        <v>875.8605</v>
      </c>
      <c r="EE3">
        <v>8197.8610000000008</v>
      </c>
      <c r="EF3">
        <v>3643.8609999999999</v>
      </c>
      <c r="EH3" s="3">
        <f t="shared" si="0"/>
        <v>0.4375</v>
      </c>
    </row>
    <row r="4" spans="1:138" x14ac:dyDescent="0.25">
      <c r="A4" s="1">
        <v>800</v>
      </c>
      <c r="B4" t="s">
        <v>225</v>
      </c>
      <c r="C4" t="s">
        <v>205</v>
      </c>
      <c r="D4" t="s">
        <v>176</v>
      </c>
      <c r="E4" t="s">
        <v>177</v>
      </c>
      <c r="F4" t="s">
        <v>178</v>
      </c>
      <c r="G4">
        <v>518.96469999999999</v>
      </c>
      <c r="H4">
        <v>11.706</v>
      </c>
      <c r="I4" t="s">
        <v>379</v>
      </c>
      <c r="J4" t="s">
        <v>137</v>
      </c>
      <c r="K4" t="s">
        <v>228</v>
      </c>
      <c r="L4" t="s">
        <v>137</v>
      </c>
      <c r="M4">
        <v>24.513999999999999</v>
      </c>
      <c r="N4">
        <v>181.59</v>
      </c>
      <c r="O4">
        <v>-1</v>
      </c>
      <c r="P4">
        <v>2</v>
      </c>
      <c r="Q4">
        <v>48</v>
      </c>
      <c r="R4">
        <v>100</v>
      </c>
      <c r="T4" t="b">
        <v>0</v>
      </c>
      <c r="U4" t="s">
        <v>300</v>
      </c>
      <c r="V4">
        <v>519</v>
      </c>
      <c r="W4">
        <v>-3.53000000000065E-2</v>
      </c>
      <c r="X4">
        <v>518.99784901541398</v>
      </c>
      <c r="Y4">
        <v>519</v>
      </c>
      <c r="Z4">
        <v>-2.1509845859100001E-3</v>
      </c>
      <c r="AA4">
        <v>38</v>
      </c>
      <c r="AB4">
        <v>12</v>
      </c>
      <c r="AC4">
        <v>4</v>
      </c>
      <c r="AD4" t="b">
        <v>1</v>
      </c>
      <c r="AE4" t="s">
        <v>142</v>
      </c>
      <c r="AF4" t="s">
        <v>143</v>
      </c>
      <c r="AG4" t="b">
        <v>0</v>
      </c>
      <c r="AH4" t="b">
        <v>1</v>
      </c>
      <c r="AI4" t="b">
        <v>1</v>
      </c>
      <c r="AJ4" t="b">
        <v>1</v>
      </c>
      <c r="AK4" t="s">
        <v>225</v>
      </c>
      <c r="AL4" t="s">
        <v>228</v>
      </c>
      <c r="AR4" t="b">
        <v>0</v>
      </c>
      <c r="AS4">
        <v>800</v>
      </c>
      <c r="AW4">
        <v>251.5718</v>
      </c>
      <c r="AZ4">
        <v>884.57180000000005</v>
      </c>
      <c r="BA4">
        <v>688.57180000000005</v>
      </c>
      <c r="BC4">
        <v>224.5718</v>
      </c>
      <c r="BK4">
        <v>920.57180000000005</v>
      </c>
      <c r="BO4">
        <v>104.5718</v>
      </c>
      <c r="BZ4">
        <v>786.57180000000005</v>
      </c>
      <c r="CG4">
        <v>747.57180000000005</v>
      </c>
      <c r="CR4">
        <v>122.5718</v>
      </c>
      <c r="CT4">
        <v>625.57180000000005</v>
      </c>
      <c r="CU4">
        <v>578.57180000000005</v>
      </c>
      <c r="CV4">
        <v>967.57180000000005</v>
      </c>
      <c r="CW4">
        <v>1600.5719999999999</v>
      </c>
      <c r="CX4">
        <v>677.57180000000005</v>
      </c>
      <c r="DC4">
        <v>391.5718</v>
      </c>
      <c r="DE4">
        <v>949.57180000000005</v>
      </c>
      <c r="DF4">
        <v>177.5718</v>
      </c>
      <c r="DJ4">
        <v>588.57180000000005</v>
      </c>
      <c r="DL4">
        <v>1126.5719999999999</v>
      </c>
      <c r="DP4">
        <v>295.5718</v>
      </c>
      <c r="DX4">
        <v>316.57180779999999</v>
      </c>
      <c r="EH4" s="3">
        <f t="shared" si="0"/>
        <v>0.21875</v>
      </c>
    </row>
    <row r="5" spans="1:138" x14ac:dyDescent="0.25">
      <c r="A5" s="1">
        <v>1593</v>
      </c>
      <c r="B5" t="s">
        <v>225</v>
      </c>
      <c r="C5" t="s">
        <v>301</v>
      </c>
      <c r="D5" t="s">
        <v>176</v>
      </c>
      <c r="E5" t="s">
        <v>177</v>
      </c>
      <c r="F5" t="s">
        <v>178</v>
      </c>
      <c r="G5">
        <v>518.96410000000003</v>
      </c>
      <c r="H5">
        <v>11.722</v>
      </c>
      <c r="I5" t="s">
        <v>379</v>
      </c>
      <c r="J5" t="s">
        <v>137</v>
      </c>
      <c r="K5" t="s">
        <v>228</v>
      </c>
      <c r="L5" t="s">
        <v>137</v>
      </c>
      <c r="M5">
        <v>22.335000000000001</v>
      </c>
      <c r="N5">
        <v>165.49</v>
      </c>
      <c r="O5">
        <v>-1</v>
      </c>
      <c r="P5">
        <v>2</v>
      </c>
      <c r="Q5">
        <v>32</v>
      </c>
      <c r="R5">
        <v>100</v>
      </c>
      <c r="T5" t="b">
        <v>0</v>
      </c>
      <c r="U5" t="s">
        <v>300</v>
      </c>
      <c r="V5">
        <v>519</v>
      </c>
      <c r="W5">
        <v>-3.5899999999969602E-2</v>
      </c>
      <c r="X5">
        <v>518.99724897708904</v>
      </c>
      <c r="Y5">
        <v>519</v>
      </c>
      <c r="Z5">
        <v>-2.7510229110703E-3</v>
      </c>
      <c r="AA5">
        <v>34</v>
      </c>
      <c r="AB5">
        <v>13</v>
      </c>
      <c r="AC5">
        <v>4</v>
      </c>
      <c r="AD5" t="b">
        <v>1</v>
      </c>
      <c r="AE5" t="s">
        <v>142</v>
      </c>
      <c r="AF5" t="s">
        <v>165</v>
      </c>
      <c r="AG5" t="b">
        <v>0</v>
      </c>
      <c r="AH5" t="b">
        <v>1</v>
      </c>
      <c r="AI5" t="b">
        <v>1</v>
      </c>
      <c r="AJ5" t="b">
        <v>1</v>
      </c>
      <c r="AK5" t="s">
        <v>225</v>
      </c>
      <c r="AL5" t="s">
        <v>228</v>
      </c>
      <c r="AR5" t="b">
        <v>0</v>
      </c>
      <c r="AS5">
        <v>1593</v>
      </c>
      <c r="BL5">
        <v>184.2423</v>
      </c>
      <c r="BN5">
        <v>17.2423097</v>
      </c>
      <c r="BU5">
        <v>504.2423</v>
      </c>
      <c r="BX5">
        <v>107.2423</v>
      </c>
      <c r="BY5">
        <v>175.2423</v>
      </c>
      <c r="CE5">
        <v>547.2423</v>
      </c>
      <c r="CF5">
        <v>742.2423</v>
      </c>
      <c r="CI5">
        <v>222.2423</v>
      </c>
      <c r="CK5">
        <v>152.2423</v>
      </c>
      <c r="CS5">
        <v>687.2423</v>
      </c>
      <c r="CY5">
        <v>178.2423</v>
      </c>
      <c r="DB5">
        <v>26.24231</v>
      </c>
      <c r="DG5">
        <v>129.2423</v>
      </c>
      <c r="DI5">
        <v>167.2423</v>
      </c>
      <c r="DO5">
        <v>314.2423</v>
      </c>
      <c r="DS5">
        <v>577.2423</v>
      </c>
      <c r="DU5">
        <v>342.2423</v>
      </c>
      <c r="DY5">
        <v>350.2423</v>
      </c>
      <c r="EG5">
        <v>90.242310000000003</v>
      </c>
      <c r="EH5" s="3">
        <f t="shared" si="0"/>
        <v>0.19791666666666666</v>
      </c>
    </row>
    <row r="6" spans="1:138" x14ac:dyDescent="0.25">
      <c r="A6" s="1">
        <v>5849</v>
      </c>
      <c r="B6" t="s">
        <v>225</v>
      </c>
      <c r="C6" t="s">
        <v>319</v>
      </c>
      <c r="G6">
        <v>718.95240000000001</v>
      </c>
      <c r="H6">
        <v>13.779</v>
      </c>
      <c r="I6" t="s">
        <v>379</v>
      </c>
      <c r="K6" t="s">
        <v>228</v>
      </c>
      <c r="L6" t="s">
        <v>137</v>
      </c>
      <c r="M6">
        <v>29.716000000000001</v>
      </c>
      <c r="N6">
        <v>218.55</v>
      </c>
      <c r="O6">
        <v>-1</v>
      </c>
      <c r="P6">
        <v>1</v>
      </c>
      <c r="Q6">
        <v>18</v>
      </c>
      <c r="R6">
        <v>92.1</v>
      </c>
      <c r="T6" t="b">
        <v>0</v>
      </c>
      <c r="U6" t="s">
        <v>240</v>
      </c>
      <c r="V6">
        <v>719</v>
      </c>
      <c r="W6">
        <v>-4.7599999999988499E-2</v>
      </c>
      <c r="X6">
        <v>718.99832328570596</v>
      </c>
      <c r="Y6">
        <v>719</v>
      </c>
      <c r="Z6">
        <v>-1.6767142936942E-3</v>
      </c>
      <c r="AA6">
        <v>35</v>
      </c>
      <c r="AB6">
        <v>3</v>
      </c>
      <c r="AC6">
        <v>3</v>
      </c>
      <c r="AD6" t="b">
        <v>1</v>
      </c>
      <c r="AE6" t="s">
        <v>142</v>
      </c>
      <c r="AF6" t="s">
        <v>143</v>
      </c>
      <c r="AG6" t="b">
        <v>0</v>
      </c>
      <c r="AH6" t="b">
        <v>1</v>
      </c>
      <c r="AI6" t="b">
        <v>1</v>
      </c>
      <c r="AJ6" t="b">
        <v>0</v>
      </c>
      <c r="AK6" t="s">
        <v>225</v>
      </c>
      <c r="AL6" t="s">
        <v>228</v>
      </c>
      <c r="AR6" t="b">
        <v>0</v>
      </c>
      <c r="AS6">
        <v>5849</v>
      </c>
      <c r="BB6">
        <v>66.987780000000001</v>
      </c>
      <c r="BG6">
        <v>194.98779999999999</v>
      </c>
      <c r="BK6">
        <v>97.987780000000001</v>
      </c>
      <c r="BO6">
        <v>88.987780000000001</v>
      </c>
      <c r="BY6">
        <v>50.987780000000001</v>
      </c>
      <c r="CI6">
        <v>17.987780000000001</v>
      </c>
      <c r="CK6">
        <v>32.987780000000001</v>
      </c>
      <c r="CM6">
        <v>80.987783899999997</v>
      </c>
      <c r="CS6">
        <v>184.98779999999999</v>
      </c>
      <c r="CV6">
        <v>117.98779999999999</v>
      </c>
      <c r="CW6">
        <v>178.98779999999999</v>
      </c>
      <c r="DE6">
        <v>51.987780000000001</v>
      </c>
      <c r="DG6">
        <v>12.987780000000001</v>
      </c>
      <c r="DJ6">
        <v>8.9877839999999996</v>
      </c>
      <c r="DO6">
        <v>85.987780000000001</v>
      </c>
      <c r="DQ6">
        <v>31.987780000000001</v>
      </c>
      <c r="EH6" s="3">
        <f t="shared" si="0"/>
        <v>0.16666666666666666</v>
      </c>
    </row>
    <row r="7" spans="1:138" x14ac:dyDescent="0.25">
      <c r="A7" s="1">
        <v>656</v>
      </c>
      <c r="B7" t="s">
        <v>225</v>
      </c>
      <c r="C7" t="s">
        <v>160</v>
      </c>
      <c r="D7" t="s">
        <v>169</v>
      </c>
      <c r="E7" t="s">
        <v>170</v>
      </c>
      <c r="F7" t="s">
        <v>171</v>
      </c>
      <c r="G7">
        <v>418.9717</v>
      </c>
      <c r="H7">
        <v>10.439</v>
      </c>
      <c r="I7" t="s">
        <v>379</v>
      </c>
      <c r="J7" t="s">
        <v>137</v>
      </c>
      <c r="K7" t="s">
        <v>228</v>
      </c>
      <c r="L7" t="s">
        <v>137</v>
      </c>
      <c r="M7">
        <v>22.218</v>
      </c>
      <c r="N7">
        <v>165.57</v>
      </c>
      <c r="O7">
        <v>-1</v>
      </c>
      <c r="P7">
        <v>1</v>
      </c>
      <c r="Q7">
        <v>101</v>
      </c>
      <c r="R7">
        <v>99.5</v>
      </c>
      <c r="T7" t="b">
        <v>0</v>
      </c>
      <c r="U7" t="s">
        <v>308</v>
      </c>
      <c r="V7">
        <v>419</v>
      </c>
      <c r="W7">
        <v>-2.8300000000001501E-2</v>
      </c>
      <c r="X7">
        <v>418.99846193456199</v>
      </c>
      <c r="Y7">
        <v>419</v>
      </c>
      <c r="Z7">
        <v>-1.5380654380692E-3</v>
      </c>
      <c r="AA7">
        <v>37</v>
      </c>
      <c r="AB7">
        <v>17</v>
      </c>
      <c r="AC7">
        <v>4</v>
      </c>
      <c r="AD7" t="b">
        <v>1</v>
      </c>
      <c r="AE7" t="s">
        <v>142</v>
      </c>
      <c r="AF7" t="s">
        <v>143</v>
      </c>
      <c r="AG7" t="b">
        <v>0</v>
      </c>
      <c r="AH7" t="b">
        <v>1</v>
      </c>
      <c r="AI7" t="b">
        <v>1</v>
      </c>
      <c r="AJ7" t="b">
        <v>1</v>
      </c>
      <c r="AK7" t="s">
        <v>225</v>
      </c>
      <c r="AL7" t="s">
        <v>228</v>
      </c>
      <c r="AR7" t="b">
        <v>0</v>
      </c>
      <c r="AS7">
        <v>656</v>
      </c>
      <c r="AU7">
        <v>268.58280000000002</v>
      </c>
      <c r="AY7">
        <v>189.58279999999999</v>
      </c>
      <c r="BG7">
        <v>112.58280000000001</v>
      </c>
      <c r="BZ7">
        <v>63.582830000000001</v>
      </c>
      <c r="CK7">
        <v>76.582830000000001</v>
      </c>
      <c r="CN7">
        <v>0.58283419999999997</v>
      </c>
      <c r="CT7">
        <v>4.5828340000000001</v>
      </c>
      <c r="CU7">
        <v>10.58283</v>
      </c>
      <c r="DR7">
        <v>47.582830000000001</v>
      </c>
      <c r="DX7">
        <v>269.58283419999998</v>
      </c>
      <c r="ED7">
        <v>55.582830000000001</v>
      </c>
      <c r="EE7">
        <v>201.58279999999999</v>
      </c>
      <c r="EF7">
        <v>196.58279999999999</v>
      </c>
      <c r="EH7" s="3">
        <f t="shared" si="0"/>
        <v>0.13541666666666666</v>
      </c>
    </row>
    <row r="8" spans="1:138" x14ac:dyDescent="0.25">
      <c r="A8" s="1">
        <v>8428</v>
      </c>
      <c r="B8" t="s">
        <v>225</v>
      </c>
      <c r="C8" t="s">
        <v>198</v>
      </c>
      <c r="D8" t="s">
        <v>325</v>
      </c>
      <c r="E8" t="s">
        <v>326</v>
      </c>
      <c r="F8" t="s">
        <v>327</v>
      </c>
      <c r="G8">
        <v>768.94830000000002</v>
      </c>
      <c r="H8">
        <v>14.117000000000001</v>
      </c>
      <c r="I8" t="s">
        <v>379</v>
      </c>
      <c r="J8" t="s">
        <v>137</v>
      </c>
      <c r="K8" t="s">
        <v>228</v>
      </c>
      <c r="L8" t="s">
        <v>137</v>
      </c>
      <c r="M8">
        <v>30.925000000000001</v>
      </c>
      <c r="N8">
        <v>227.25</v>
      </c>
      <c r="O8">
        <v>-1</v>
      </c>
      <c r="P8">
        <v>1</v>
      </c>
      <c r="Q8">
        <v>11</v>
      </c>
      <c r="R8">
        <v>71.8</v>
      </c>
      <c r="T8" t="b">
        <v>0</v>
      </c>
      <c r="U8" t="s">
        <v>328</v>
      </c>
      <c r="V8">
        <v>769</v>
      </c>
      <c r="W8">
        <v>-5.1699999999982503E-2</v>
      </c>
      <c r="X8">
        <v>768.99741678780697</v>
      </c>
      <c r="Y8">
        <v>769</v>
      </c>
      <c r="Z8">
        <v>-2.5832121928032999E-3</v>
      </c>
      <c r="AA8">
        <v>37</v>
      </c>
      <c r="AB8">
        <v>20</v>
      </c>
      <c r="AC8">
        <v>8</v>
      </c>
      <c r="AD8" t="b">
        <v>1</v>
      </c>
      <c r="AE8" t="s">
        <v>142</v>
      </c>
      <c r="AF8" t="s">
        <v>143</v>
      </c>
      <c r="AG8" t="b">
        <v>0</v>
      </c>
      <c r="AH8" t="b">
        <v>1</v>
      </c>
      <c r="AI8" t="b">
        <v>1</v>
      </c>
      <c r="AJ8" t="b">
        <v>1</v>
      </c>
      <c r="AK8" t="s">
        <v>225</v>
      </c>
      <c r="AL8" t="s">
        <v>228</v>
      </c>
      <c r="AR8" t="b">
        <v>0</v>
      </c>
      <c r="AS8">
        <v>8428</v>
      </c>
      <c r="BG8">
        <v>119.999</v>
      </c>
      <c r="BI8">
        <v>50.999000000000002</v>
      </c>
      <c r="BU8">
        <v>53.999000000000002</v>
      </c>
      <c r="BW8">
        <v>65.998999999999995</v>
      </c>
      <c r="CA8">
        <v>80.998999999999995</v>
      </c>
      <c r="CE8">
        <v>104.999</v>
      </c>
      <c r="CJ8">
        <v>72.998999999999995</v>
      </c>
      <c r="CS8">
        <v>55.999000000000002</v>
      </c>
      <c r="CW8">
        <v>161.999</v>
      </c>
      <c r="EE8">
        <v>111.999</v>
      </c>
      <c r="EF8">
        <v>70.998999999999995</v>
      </c>
      <c r="EH8" s="3">
        <f t="shared" si="0"/>
        <v>0.11458333333333333</v>
      </c>
    </row>
    <row r="9" spans="1:138" x14ac:dyDescent="0.25">
      <c r="A9" s="1">
        <v>372</v>
      </c>
      <c r="B9" t="s">
        <v>225</v>
      </c>
      <c r="C9" t="s">
        <v>192</v>
      </c>
      <c r="D9" t="s">
        <v>176</v>
      </c>
      <c r="E9" t="s">
        <v>177</v>
      </c>
      <c r="F9" t="s">
        <v>178</v>
      </c>
      <c r="G9">
        <v>518.96410000000003</v>
      </c>
      <c r="H9">
        <v>11.882999999999999</v>
      </c>
      <c r="I9" t="s">
        <v>379</v>
      </c>
      <c r="J9" t="s">
        <v>137</v>
      </c>
      <c r="K9" t="s">
        <v>228</v>
      </c>
      <c r="L9" t="s">
        <v>137</v>
      </c>
      <c r="M9">
        <v>24.745000000000001</v>
      </c>
      <c r="N9">
        <v>183.28</v>
      </c>
      <c r="O9">
        <v>-1</v>
      </c>
      <c r="P9">
        <v>2</v>
      </c>
      <c r="Q9">
        <v>74</v>
      </c>
      <c r="R9">
        <v>100</v>
      </c>
      <c r="T9" t="b">
        <v>0</v>
      </c>
      <c r="U9" t="s">
        <v>300</v>
      </c>
      <c r="V9">
        <v>519</v>
      </c>
      <c r="W9">
        <v>-3.5899999999969602E-2</v>
      </c>
      <c r="X9">
        <v>518.99724897708904</v>
      </c>
      <c r="Y9">
        <v>519</v>
      </c>
      <c r="Z9">
        <v>-2.7510229110703E-3</v>
      </c>
      <c r="AA9">
        <v>34</v>
      </c>
      <c r="AB9">
        <v>9</v>
      </c>
      <c r="AC9">
        <v>5</v>
      </c>
      <c r="AD9" t="b">
        <v>1</v>
      </c>
      <c r="AE9" t="s">
        <v>142</v>
      </c>
      <c r="AF9" t="s">
        <v>165</v>
      </c>
      <c r="AG9" t="b">
        <v>0</v>
      </c>
      <c r="AH9" t="b">
        <v>1</v>
      </c>
      <c r="AI9" t="b">
        <v>1</v>
      </c>
      <c r="AJ9" t="b">
        <v>1</v>
      </c>
      <c r="AK9" t="s">
        <v>225</v>
      </c>
      <c r="AL9" t="s">
        <v>228</v>
      </c>
      <c r="AR9" t="b">
        <v>0</v>
      </c>
      <c r="AS9">
        <v>372</v>
      </c>
      <c r="AY9">
        <v>427.1848</v>
      </c>
      <c r="BE9">
        <v>114.1848</v>
      </c>
      <c r="BJ9">
        <v>129.1848</v>
      </c>
      <c r="CQ9">
        <v>125.1848</v>
      </c>
      <c r="DN9">
        <v>452.1848</v>
      </c>
      <c r="DR9">
        <v>371.1848</v>
      </c>
      <c r="DV9">
        <v>108.1848</v>
      </c>
      <c r="ED9">
        <v>120.1848</v>
      </c>
      <c r="EF9">
        <v>383.1848</v>
      </c>
      <c r="EH9" s="3">
        <f t="shared" si="0"/>
        <v>9.375E-2</v>
      </c>
    </row>
    <row r="10" spans="1:138" x14ac:dyDescent="0.25">
      <c r="A10" s="1">
        <v>2857</v>
      </c>
      <c r="B10" t="s">
        <v>237</v>
      </c>
      <c r="C10" t="s">
        <v>192</v>
      </c>
      <c r="G10">
        <v>564.91869999999994</v>
      </c>
      <c r="H10">
        <v>11.356</v>
      </c>
      <c r="I10" t="s">
        <v>379</v>
      </c>
      <c r="K10" t="s">
        <v>239</v>
      </c>
      <c r="L10" t="s">
        <v>137</v>
      </c>
      <c r="M10">
        <v>24.603000000000002</v>
      </c>
      <c r="N10">
        <v>181.89</v>
      </c>
      <c r="O10">
        <v>-1</v>
      </c>
      <c r="P10">
        <v>1</v>
      </c>
      <c r="Q10">
        <v>29</v>
      </c>
      <c r="R10">
        <v>99.3</v>
      </c>
      <c r="T10" t="b">
        <v>0</v>
      </c>
      <c r="U10" t="s">
        <v>240</v>
      </c>
      <c r="V10">
        <v>565</v>
      </c>
      <c r="W10">
        <v>-8.1300000000055703E-2</v>
      </c>
      <c r="X10">
        <v>564.954784340022</v>
      </c>
      <c r="Y10">
        <v>565</v>
      </c>
      <c r="Z10">
        <v>-4.5215659978452998E-2</v>
      </c>
      <c r="AA10">
        <v>34</v>
      </c>
      <c r="AB10">
        <v>9</v>
      </c>
      <c r="AC10">
        <v>3</v>
      </c>
      <c r="AD10" t="b">
        <v>1</v>
      </c>
      <c r="AE10" t="s">
        <v>142</v>
      </c>
      <c r="AF10" t="s">
        <v>143</v>
      </c>
      <c r="AG10" t="b">
        <v>0</v>
      </c>
      <c r="AH10" t="b">
        <v>1</v>
      </c>
      <c r="AI10" t="b">
        <v>1</v>
      </c>
      <c r="AJ10" t="b">
        <v>0</v>
      </c>
      <c r="AK10" t="s">
        <v>237</v>
      </c>
      <c r="AL10" t="s">
        <v>239</v>
      </c>
      <c r="AR10" t="b">
        <v>0</v>
      </c>
      <c r="AS10">
        <v>2857</v>
      </c>
      <c r="AW10">
        <v>126.2032</v>
      </c>
      <c r="BK10">
        <v>220.20320000000001</v>
      </c>
      <c r="BZ10">
        <v>127.2032</v>
      </c>
      <c r="CG10">
        <v>314.20319999999998</v>
      </c>
      <c r="EH10" s="3">
        <f t="shared" si="0"/>
        <v>4.1666666666666664E-2</v>
      </c>
    </row>
    <row r="11" spans="1:138" x14ac:dyDescent="0.25">
      <c r="A11" s="1">
        <v>3511</v>
      </c>
      <c r="B11" t="s">
        <v>237</v>
      </c>
      <c r="C11" t="s">
        <v>193</v>
      </c>
      <c r="G11">
        <v>207.04220000000001</v>
      </c>
      <c r="H11">
        <v>3.4550000000000001</v>
      </c>
      <c r="I11" t="s">
        <v>379</v>
      </c>
      <c r="K11" t="s">
        <v>239</v>
      </c>
      <c r="L11" t="s">
        <v>137</v>
      </c>
      <c r="M11">
        <v>18.914999999999999</v>
      </c>
      <c r="N11">
        <v>145.44</v>
      </c>
      <c r="O11">
        <v>-1</v>
      </c>
      <c r="P11">
        <v>1</v>
      </c>
      <c r="Q11">
        <v>23</v>
      </c>
      <c r="R11">
        <v>99.7</v>
      </c>
      <c r="T11" t="b">
        <v>0</v>
      </c>
      <c r="U11" t="s">
        <v>240</v>
      </c>
      <c r="V11">
        <v>207</v>
      </c>
      <c r="W11">
        <v>4.2200000000008203E-2</v>
      </c>
      <c r="X11">
        <v>207.05542487845401</v>
      </c>
      <c r="Y11">
        <v>207</v>
      </c>
      <c r="Z11">
        <v>5.54248784535218E-2</v>
      </c>
      <c r="AA11">
        <v>41</v>
      </c>
      <c r="AB11">
        <v>19</v>
      </c>
      <c r="AC11">
        <v>3</v>
      </c>
      <c r="AD11" t="b">
        <v>1</v>
      </c>
      <c r="AE11" t="s">
        <v>142</v>
      </c>
      <c r="AF11" t="s">
        <v>143</v>
      </c>
      <c r="AG11" t="b">
        <v>0</v>
      </c>
      <c r="AH11" t="b">
        <v>1</v>
      </c>
      <c r="AI11" t="b">
        <v>1</v>
      </c>
      <c r="AJ11" t="b">
        <v>0</v>
      </c>
      <c r="AK11" t="s">
        <v>237</v>
      </c>
      <c r="AL11" t="s">
        <v>239</v>
      </c>
      <c r="AR11" t="b">
        <v>0</v>
      </c>
      <c r="AS11">
        <v>3511</v>
      </c>
      <c r="AT11">
        <v>175.30510000000001</v>
      </c>
      <c r="BK11">
        <v>58.305120000000002</v>
      </c>
      <c r="EH11" s="3">
        <f t="shared" si="0"/>
        <v>2.0833333333333332E-2</v>
      </c>
    </row>
    <row r="12" spans="1:138" x14ac:dyDescent="0.25">
      <c r="A12" s="1">
        <v>1159</v>
      </c>
      <c r="B12" t="s">
        <v>237</v>
      </c>
      <c r="C12" t="s">
        <v>205</v>
      </c>
      <c r="G12">
        <v>229.0549</v>
      </c>
      <c r="H12">
        <v>5.9269999999999996</v>
      </c>
      <c r="I12" t="s">
        <v>379</v>
      </c>
      <c r="K12" t="s">
        <v>239</v>
      </c>
      <c r="L12" t="s">
        <v>137</v>
      </c>
      <c r="M12">
        <v>19.841999999999999</v>
      </c>
      <c r="N12">
        <v>151.66999999999999</v>
      </c>
      <c r="O12">
        <v>-1</v>
      </c>
      <c r="P12">
        <v>3</v>
      </c>
      <c r="Q12">
        <v>14</v>
      </c>
      <c r="R12">
        <v>100</v>
      </c>
      <c r="T12" t="b">
        <v>0</v>
      </c>
      <c r="U12" t="s">
        <v>240</v>
      </c>
      <c r="V12">
        <v>229</v>
      </c>
      <c r="W12">
        <v>5.4900000000003502E-2</v>
      </c>
      <c r="X12">
        <v>229.06953094582499</v>
      </c>
      <c r="Y12">
        <v>229</v>
      </c>
      <c r="Z12">
        <v>6.9530945824965301E-2</v>
      </c>
      <c r="AA12">
        <v>39</v>
      </c>
      <c r="AB12">
        <v>12</v>
      </c>
      <c r="AC12">
        <v>3</v>
      </c>
      <c r="AD12" t="b">
        <v>1</v>
      </c>
      <c r="AE12" t="s">
        <v>142</v>
      </c>
      <c r="AF12" t="s">
        <v>165</v>
      </c>
      <c r="AG12" t="b">
        <v>0</v>
      </c>
      <c r="AH12" t="b">
        <v>1</v>
      </c>
      <c r="AI12" t="b">
        <v>1</v>
      </c>
      <c r="AJ12" t="b">
        <v>0</v>
      </c>
      <c r="AK12" t="s">
        <v>237</v>
      </c>
      <c r="AL12" t="s">
        <v>239</v>
      </c>
      <c r="AR12" t="b">
        <v>0</v>
      </c>
      <c r="AS12">
        <v>1159</v>
      </c>
      <c r="BP12">
        <v>453.99900000000002</v>
      </c>
      <c r="CJ12">
        <v>3816.9989999999998</v>
      </c>
      <c r="EH12" s="3">
        <f t="shared" si="0"/>
        <v>2.0833333333333332E-2</v>
      </c>
    </row>
    <row r="13" spans="1:138" x14ac:dyDescent="0.25">
      <c r="A13" s="1">
        <v>278</v>
      </c>
      <c r="B13" t="s">
        <v>237</v>
      </c>
      <c r="C13" t="s">
        <v>264</v>
      </c>
      <c r="G13">
        <v>589.01390000000004</v>
      </c>
      <c r="H13">
        <v>11.891999999999999</v>
      </c>
      <c r="I13" t="s">
        <v>379</v>
      </c>
      <c r="K13" t="s">
        <v>239</v>
      </c>
      <c r="L13" t="s">
        <v>137</v>
      </c>
      <c r="M13">
        <v>29.786999999999999</v>
      </c>
      <c r="N13">
        <v>219.96</v>
      </c>
      <c r="O13">
        <v>-1</v>
      </c>
      <c r="P13">
        <v>3</v>
      </c>
      <c r="Q13">
        <v>107</v>
      </c>
      <c r="R13">
        <v>100</v>
      </c>
      <c r="T13" t="b">
        <v>0</v>
      </c>
      <c r="U13" t="s">
        <v>240</v>
      </c>
      <c r="V13">
        <v>589</v>
      </c>
      <c r="W13">
        <v>1.39000000000351E-2</v>
      </c>
      <c r="X13">
        <v>589.05152342766303</v>
      </c>
      <c r="Y13">
        <v>589</v>
      </c>
      <c r="Z13">
        <v>5.1523427663255503E-2</v>
      </c>
      <c r="AA13">
        <v>43</v>
      </c>
      <c r="AB13">
        <v>26</v>
      </c>
      <c r="AC13">
        <v>3</v>
      </c>
      <c r="AD13" t="b">
        <v>1</v>
      </c>
      <c r="AE13" t="s">
        <v>212</v>
      </c>
      <c r="AF13" t="s">
        <v>143</v>
      </c>
      <c r="AG13" t="b">
        <v>0</v>
      </c>
      <c r="AH13" t="b">
        <v>1</v>
      </c>
      <c r="AI13" t="b">
        <v>1</v>
      </c>
      <c r="AJ13" t="b">
        <v>0</v>
      </c>
      <c r="AK13" t="s">
        <v>237</v>
      </c>
      <c r="AL13" t="s">
        <v>239</v>
      </c>
      <c r="AR13" t="b">
        <v>0</v>
      </c>
      <c r="AS13">
        <v>278</v>
      </c>
      <c r="BS13">
        <v>967.61019999999996</v>
      </c>
      <c r="CW13">
        <v>98.610159999999993</v>
      </c>
      <c r="EH13" s="3">
        <f t="shared" si="0"/>
        <v>2.0833333333333332E-2</v>
      </c>
    </row>
    <row r="14" spans="1:138" x14ac:dyDescent="0.25">
      <c r="A14" s="1">
        <v>442</v>
      </c>
      <c r="B14" t="s">
        <v>225</v>
      </c>
      <c r="C14" t="s">
        <v>198</v>
      </c>
      <c r="D14" t="s">
        <v>199</v>
      </c>
      <c r="E14" t="s">
        <v>195</v>
      </c>
      <c r="F14" t="s">
        <v>196</v>
      </c>
      <c r="G14">
        <v>618.95929999999998</v>
      </c>
      <c r="H14">
        <v>12.964</v>
      </c>
      <c r="I14" t="s">
        <v>379</v>
      </c>
      <c r="J14" t="s">
        <v>137</v>
      </c>
      <c r="K14" t="s">
        <v>228</v>
      </c>
      <c r="L14" t="s">
        <v>137</v>
      </c>
      <c r="M14">
        <v>27.257000000000001</v>
      </c>
      <c r="N14">
        <v>201.05</v>
      </c>
      <c r="O14">
        <v>-1</v>
      </c>
      <c r="P14">
        <v>2</v>
      </c>
      <c r="Q14">
        <v>103</v>
      </c>
      <c r="R14">
        <v>100</v>
      </c>
      <c r="T14" t="b">
        <v>0</v>
      </c>
      <c r="U14" t="s">
        <v>306</v>
      </c>
      <c r="V14">
        <v>619</v>
      </c>
      <c r="W14">
        <v>-4.07000000000153E-2</v>
      </c>
      <c r="X14">
        <v>618.99883619846696</v>
      </c>
      <c r="Y14">
        <v>619</v>
      </c>
      <c r="Z14">
        <v>-1.1638015333801E-3</v>
      </c>
      <c r="AA14">
        <v>37</v>
      </c>
      <c r="AB14">
        <v>20</v>
      </c>
      <c r="AC14">
        <v>8</v>
      </c>
      <c r="AD14" t="b">
        <v>1</v>
      </c>
      <c r="AE14" t="s">
        <v>142</v>
      </c>
      <c r="AF14" t="s">
        <v>143</v>
      </c>
      <c r="AG14" t="b">
        <v>0</v>
      </c>
      <c r="AH14" t="b">
        <v>1</v>
      </c>
      <c r="AI14" t="b">
        <v>1</v>
      </c>
      <c r="AJ14" t="b">
        <v>1</v>
      </c>
      <c r="AK14" t="s">
        <v>225</v>
      </c>
      <c r="AL14" t="s">
        <v>228</v>
      </c>
      <c r="AR14" t="b">
        <v>0</v>
      </c>
      <c r="AS14">
        <v>442</v>
      </c>
      <c r="BG14">
        <v>774.61779999999999</v>
      </c>
      <c r="CW14">
        <v>1465.6179999999999</v>
      </c>
      <c r="EH14" s="3">
        <f t="shared" si="0"/>
        <v>2.0833333333333332E-2</v>
      </c>
    </row>
    <row r="15" spans="1:138" x14ac:dyDescent="0.25">
      <c r="A15" s="1">
        <v>331</v>
      </c>
      <c r="B15" t="s">
        <v>237</v>
      </c>
      <c r="C15" t="s">
        <v>299</v>
      </c>
      <c r="G15">
        <v>323.08960000000002</v>
      </c>
      <c r="H15">
        <v>3.4620000000000002</v>
      </c>
      <c r="I15" t="s">
        <v>379</v>
      </c>
      <c r="K15" t="s">
        <v>239</v>
      </c>
      <c r="L15" t="s">
        <v>137</v>
      </c>
      <c r="M15">
        <v>22.521999999999998</v>
      </c>
      <c r="N15">
        <v>169.39</v>
      </c>
      <c r="O15">
        <v>-1</v>
      </c>
      <c r="P15">
        <v>2</v>
      </c>
      <c r="Q15">
        <v>106</v>
      </c>
      <c r="R15">
        <v>100</v>
      </c>
      <c r="T15" t="b">
        <v>0</v>
      </c>
      <c r="U15" t="s">
        <v>240</v>
      </c>
      <c r="V15">
        <v>323</v>
      </c>
      <c r="W15">
        <v>8.9600000000018595E-2</v>
      </c>
      <c r="X15">
        <v>323.11023743859698</v>
      </c>
      <c r="Y15">
        <v>323</v>
      </c>
      <c r="Z15">
        <v>0.11023743859749401</v>
      </c>
      <c r="AA15">
        <v>47</v>
      </c>
      <c r="AB15">
        <v>51</v>
      </c>
      <c r="AC15">
        <v>3</v>
      </c>
      <c r="AD15" t="b">
        <v>1</v>
      </c>
      <c r="AE15" t="s">
        <v>212</v>
      </c>
      <c r="AF15" t="s">
        <v>143</v>
      </c>
      <c r="AG15" t="b">
        <v>0</v>
      </c>
      <c r="AH15" t="b">
        <v>1</v>
      </c>
      <c r="AI15" t="b">
        <v>1</v>
      </c>
      <c r="AJ15" t="b">
        <v>0</v>
      </c>
      <c r="AK15" t="s">
        <v>237</v>
      </c>
      <c r="AL15" t="s">
        <v>239</v>
      </c>
      <c r="AR15" t="b">
        <v>0</v>
      </c>
      <c r="AS15">
        <v>331</v>
      </c>
      <c r="DU15">
        <v>100.923</v>
      </c>
      <c r="EH15" s="3">
        <f t="shared" si="0"/>
        <v>1.0416666666666666E-2</v>
      </c>
    </row>
    <row r="16" spans="1:138" x14ac:dyDescent="0.25">
      <c r="A16" s="1">
        <v>2866</v>
      </c>
      <c r="B16" t="s">
        <v>225</v>
      </c>
      <c r="C16" t="s">
        <v>205</v>
      </c>
      <c r="D16" t="s">
        <v>176</v>
      </c>
      <c r="E16" t="s">
        <v>177</v>
      </c>
      <c r="F16" t="s">
        <v>178</v>
      </c>
      <c r="G16">
        <v>518.96420000000001</v>
      </c>
      <c r="H16">
        <v>11.891</v>
      </c>
      <c r="I16" t="s">
        <v>379</v>
      </c>
      <c r="J16" t="s">
        <v>137</v>
      </c>
      <c r="K16" t="s">
        <v>228</v>
      </c>
      <c r="L16" t="s">
        <v>137</v>
      </c>
      <c r="M16">
        <v>28.044</v>
      </c>
      <c r="N16">
        <v>207.76</v>
      </c>
      <c r="O16">
        <v>-1</v>
      </c>
      <c r="P16">
        <v>1</v>
      </c>
      <c r="Q16">
        <v>34</v>
      </c>
      <c r="R16">
        <v>99</v>
      </c>
      <c r="T16" t="b">
        <v>0</v>
      </c>
      <c r="U16" t="s">
        <v>300</v>
      </c>
      <c r="V16">
        <v>519</v>
      </c>
      <c r="W16">
        <v>-3.5799999999994697E-2</v>
      </c>
      <c r="X16">
        <v>518.99734898347594</v>
      </c>
      <c r="Y16">
        <v>519</v>
      </c>
      <c r="Z16">
        <v>-2.6510165236004E-3</v>
      </c>
      <c r="AA16">
        <v>38</v>
      </c>
      <c r="AB16">
        <v>12</v>
      </c>
      <c r="AC16">
        <v>6</v>
      </c>
      <c r="AD16" t="b">
        <v>1</v>
      </c>
      <c r="AE16" t="s">
        <v>142</v>
      </c>
      <c r="AF16" t="s">
        <v>165</v>
      </c>
      <c r="AG16" t="b">
        <v>0</v>
      </c>
      <c r="AH16" t="b">
        <v>1</v>
      </c>
      <c r="AI16" t="b">
        <v>1</v>
      </c>
      <c r="AJ16" t="b">
        <v>1</v>
      </c>
      <c r="AK16" t="s">
        <v>225</v>
      </c>
      <c r="AL16" t="s">
        <v>228</v>
      </c>
      <c r="AR16" t="b">
        <v>0</v>
      </c>
      <c r="AS16">
        <v>2866</v>
      </c>
      <c r="BS16">
        <v>7.524851</v>
      </c>
      <c r="EH16" s="3">
        <f t="shared" si="0"/>
        <v>1.0416666666666666E-2</v>
      </c>
    </row>
    <row r="17" spans="1:138" x14ac:dyDescent="0.25">
      <c r="A17" s="1">
        <v>6095</v>
      </c>
      <c r="B17" t="s">
        <v>237</v>
      </c>
      <c r="C17" t="s">
        <v>145</v>
      </c>
      <c r="G17">
        <v>730.95129999999995</v>
      </c>
      <c r="H17">
        <v>16.007000000000001</v>
      </c>
      <c r="I17" t="s">
        <v>349</v>
      </c>
      <c r="K17" t="s">
        <v>239</v>
      </c>
      <c r="L17" t="s">
        <v>137</v>
      </c>
      <c r="M17">
        <v>26.811</v>
      </c>
      <c r="N17">
        <v>197.16</v>
      </c>
      <c r="O17">
        <v>-1</v>
      </c>
      <c r="P17">
        <v>1</v>
      </c>
      <c r="Q17">
        <v>25</v>
      </c>
      <c r="R17">
        <v>98.9</v>
      </c>
      <c r="T17" t="b">
        <v>0</v>
      </c>
      <c r="U17" t="s">
        <v>240</v>
      </c>
      <c r="V17">
        <v>731</v>
      </c>
      <c r="W17">
        <v>-4.8700000000053499E-2</v>
      </c>
      <c r="X17">
        <v>730.99798971880102</v>
      </c>
      <c r="Y17">
        <v>731</v>
      </c>
      <c r="Z17">
        <v>-2.0102811990909001E-3</v>
      </c>
      <c r="AA17">
        <v>32</v>
      </c>
      <c r="AB17">
        <v>10</v>
      </c>
      <c r="AC17">
        <v>4</v>
      </c>
      <c r="AD17" t="b">
        <v>1</v>
      </c>
      <c r="AE17" t="s">
        <v>142</v>
      </c>
      <c r="AF17" t="s">
        <v>143</v>
      </c>
      <c r="AG17" t="b">
        <v>0</v>
      </c>
      <c r="AH17" t="b">
        <v>1</v>
      </c>
      <c r="AI17" t="b">
        <v>1</v>
      </c>
      <c r="AJ17" t="b">
        <v>0</v>
      </c>
      <c r="AK17" t="s">
        <v>237</v>
      </c>
      <c r="AL17" t="s">
        <v>239</v>
      </c>
      <c r="AR17" t="b">
        <v>0</v>
      </c>
      <c r="AS17">
        <v>6095</v>
      </c>
      <c r="BC17">
        <v>72.998999999999995</v>
      </c>
      <c r="BJ17">
        <v>112.999</v>
      </c>
      <c r="BK17">
        <v>90.998999999999995</v>
      </c>
      <c r="BN17">
        <v>52.999000000000002</v>
      </c>
      <c r="BS17">
        <v>60.999000000000002</v>
      </c>
      <c r="CB17">
        <v>98.998999999999995</v>
      </c>
      <c r="CC17">
        <v>113.999</v>
      </c>
      <c r="CG17">
        <v>106.999</v>
      </c>
      <c r="CI17">
        <v>95.998999999999995</v>
      </c>
      <c r="CS17">
        <v>103.999</v>
      </c>
      <c r="CU17">
        <v>65.998999999999995</v>
      </c>
      <c r="DO17">
        <v>102.999</v>
      </c>
      <c r="DT17">
        <v>95.998999999999995</v>
      </c>
      <c r="DY17">
        <v>93.998999999999995</v>
      </c>
      <c r="EH17" s="3">
        <f t="shared" si="0"/>
        <v>0.14583333333333334</v>
      </c>
    </row>
    <row r="18" spans="1:138" x14ac:dyDescent="0.25">
      <c r="A18" s="1">
        <v>8627</v>
      </c>
      <c r="B18" t="s">
        <v>225</v>
      </c>
      <c r="C18" t="s">
        <v>318</v>
      </c>
      <c r="D18" t="s">
        <v>329</v>
      </c>
      <c r="E18" t="s">
        <v>330</v>
      </c>
      <c r="F18" t="s">
        <v>331</v>
      </c>
      <c r="G18">
        <v>368.97629999999998</v>
      </c>
      <c r="H18">
        <v>4.0910000000000002</v>
      </c>
      <c r="I18" t="s">
        <v>349</v>
      </c>
      <c r="J18" t="s">
        <v>137</v>
      </c>
      <c r="K18" t="s">
        <v>228</v>
      </c>
      <c r="L18" t="s">
        <v>137</v>
      </c>
      <c r="M18">
        <v>23.1</v>
      </c>
      <c r="N18">
        <v>172.86</v>
      </c>
      <c r="O18">
        <v>-1</v>
      </c>
      <c r="P18">
        <v>1</v>
      </c>
      <c r="Q18">
        <v>14</v>
      </c>
      <c r="R18">
        <v>98.3</v>
      </c>
      <c r="T18" t="b">
        <v>0</v>
      </c>
      <c r="U18" t="s">
        <v>332</v>
      </c>
      <c r="V18">
        <v>369</v>
      </c>
      <c r="W18">
        <v>-2.37000000000194E-2</v>
      </c>
      <c r="X18">
        <v>368.99986846439901</v>
      </c>
      <c r="Y18">
        <v>369</v>
      </c>
      <c r="Z18">
        <v>-1.3153560132649999E-4</v>
      </c>
      <c r="AA18">
        <v>31</v>
      </c>
      <c r="AB18">
        <v>5</v>
      </c>
      <c r="AC18">
        <v>4</v>
      </c>
      <c r="AD18" t="b">
        <v>1</v>
      </c>
      <c r="AE18" t="s">
        <v>142</v>
      </c>
      <c r="AF18" t="s">
        <v>143</v>
      </c>
      <c r="AG18" t="b">
        <v>0</v>
      </c>
      <c r="AH18" t="b">
        <v>1</v>
      </c>
      <c r="AI18" t="b">
        <v>1</v>
      </c>
      <c r="AJ18" t="b">
        <v>1</v>
      </c>
      <c r="AK18" t="s">
        <v>225</v>
      </c>
      <c r="AL18" t="s">
        <v>228</v>
      </c>
      <c r="AR18" t="b">
        <v>0</v>
      </c>
      <c r="AS18">
        <v>8627</v>
      </c>
      <c r="BE18">
        <v>25.785219999999999</v>
      </c>
      <c r="BJ18">
        <v>12.785220000000001</v>
      </c>
      <c r="BP18">
        <v>9.7852189999999997</v>
      </c>
      <c r="BQ18">
        <v>4.7852189999999997</v>
      </c>
      <c r="CP18">
        <v>33.785220000000002</v>
      </c>
      <c r="CQ18">
        <v>31.785219999999999</v>
      </c>
      <c r="CT18">
        <v>5.7852189999999997</v>
      </c>
      <c r="DN18">
        <v>0.78521879999999999</v>
      </c>
      <c r="DQ18">
        <v>4.7852189999999997</v>
      </c>
      <c r="EA18">
        <v>0.78521879999999999</v>
      </c>
      <c r="EG18">
        <v>25.785219999999999</v>
      </c>
      <c r="EH18" s="3">
        <f t="shared" si="0"/>
        <v>0.11458333333333333</v>
      </c>
    </row>
    <row r="19" spans="1:138" x14ac:dyDescent="0.25">
      <c r="A19" s="1">
        <v>7042</v>
      </c>
      <c r="B19" t="s">
        <v>237</v>
      </c>
      <c r="C19" t="s">
        <v>226</v>
      </c>
      <c r="G19">
        <v>630.95650000000001</v>
      </c>
      <c r="H19">
        <v>15.574</v>
      </c>
      <c r="I19" t="s">
        <v>349</v>
      </c>
      <c r="K19" t="s">
        <v>239</v>
      </c>
      <c r="L19" t="s">
        <v>137</v>
      </c>
      <c r="M19">
        <v>24.170999999999999</v>
      </c>
      <c r="N19">
        <v>178.21</v>
      </c>
      <c r="O19">
        <v>-1</v>
      </c>
      <c r="P19">
        <v>1</v>
      </c>
      <c r="Q19">
        <v>23</v>
      </c>
      <c r="R19">
        <v>98.5</v>
      </c>
      <c r="T19" t="b">
        <v>0</v>
      </c>
      <c r="U19" t="s">
        <v>240</v>
      </c>
      <c r="V19">
        <v>631</v>
      </c>
      <c r="W19">
        <v>-4.3499999999994501E-2</v>
      </c>
      <c r="X19">
        <v>630.99680252297298</v>
      </c>
      <c r="Y19">
        <v>631</v>
      </c>
      <c r="Z19">
        <v>-3.1974770266742E-3</v>
      </c>
      <c r="AA19">
        <v>35</v>
      </c>
      <c r="AB19">
        <v>15</v>
      </c>
      <c r="AC19">
        <v>4</v>
      </c>
      <c r="AD19" t="b">
        <v>1</v>
      </c>
      <c r="AE19" t="s">
        <v>212</v>
      </c>
      <c r="AF19" t="s">
        <v>143</v>
      </c>
      <c r="AG19" t="b">
        <v>0</v>
      </c>
      <c r="AH19" t="b">
        <v>1</v>
      </c>
      <c r="AI19" t="b">
        <v>1</v>
      </c>
      <c r="AJ19" t="b">
        <v>0</v>
      </c>
      <c r="AK19" t="s">
        <v>237</v>
      </c>
      <c r="AL19" t="s">
        <v>239</v>
      </c>
      <c r="AR19" t="b">
        <v>0</v>
      </c>
      <c r="AS19">
        <v>7042</v>
      </c>
      <c r="BH19">
        <v>8.7345780000000008</v>
      </c>
      <c r="BN19">
        <v>25.734577600000001</v>
      </c>
      <c r="CB19">
        <v>6.734578</v>
      </c>
      <c r="CR19">
        <v>21.734580000000001</v>
      </c>
      <c r="CU19">
        <v>25.734580000000001</v>
      </c>
      <c r="DG19">
        <v>19.734580000000001</v>
      </c>
      <c r="DH19">
        <v>41.734580000000001</v>
      </c>
      <c r="DM19">
        <v>2.734578</v>
      </c>
      <c r="DO19">
        <v>16.734580000000001</v>
      </c>
      <c r="DT19">
        <v>33.734580000000001</v>
      </c>
      <c r="EH19" s="3">
        <f t="shared" si="0"/>
        <v>0.10416666666666667</v>
      </c>
    </row>
    <row r="20" spans="1:138" x14ac:dyDescent="0.25">
      <c r="A20" s="1">
        <v>8787</v>
      </c>
      <c r="B20" t="s">
        <v>230</v>
      </c>
      <c r="C20" t="s">
        <v>181</v>
      </c>
      <c r="D20" t="s">
        <v>333</v>
      </c>
      <c r="E20" t="s">
        <v>334</v>
      </c>
      <c r="G20">
        <v>434.94740000000002</v>
      </c>
      <c r="H20">
        <v>5.87</v>
      </c>
      <c r="I20" t="s">
        <v>349</v>
      </c>
      <c r="J20" t="s">
        <v>137</v>
      </c>
      <c r="K20" t="s">
        <v>231</v>
      </c>
      <c r="L20" t="s">
        <v>137</v>
      </c>
      <c r="M20">
        <v>24.689</v>
      </c>
      <c r="N20">
        <v>183.82</v>
      </c>
      <c r="O20">
        <v>-1</v>
      </c>
      <c r="P20">
        <v>1</v>
      </c>
      <c r="Q20">
        <v>11</v>
      </c>
      <c r="R20">
        <v>61.5</v>
      </c>
      <c r="T20" t="b">
        <v>0</v>
      </c>
      <c r="U20" t="s">
        <v>335</v>
      </c>
      <c r="V20">
        <v>435</v>
      </c>
      <c r="W20">
        <v>-5.2599999999984E-2</v>
      </c>
      <c r="X20">
        <v>434.97518238686899</v>
      </c>
      <c r="Y20">
        <v>435</v>
      </c>
      <c r="Z20">
        <v>-2.48176131307218E-2</v>
      </c>
      <c r="AA20">
        <v>32</v>
      </c>
      <c r="AB20">
        <v>0</v>
      </c>
      <c r="AC20">
        <v>0</v>
      </c>
      <c r="AD20" t="b">
        <v>1</v>
      </c>
      <c r="AG20" t="b">
        <v>0</v>
      </c>
      <c r="AH20" t="b">
        <v>0</v>
      </c>
      <c r="AI20" t="b">
        <v>0</v>
      </c>
      <c r="AJ20" t="b">
        <v>1</v>
      </c>
      <c r="AK20" t="s">
        <v>230</v>
      </c>
      <c r="AL20" t="s">
        <v>231</v>
      </c>
      <c r="AR20" t="b">
        <v>0</v>
      </c>
      <c r="AS20">
        <v>8787</v>
      </c>
      <c r="AX20">
        <v>10.987780000000001</v>
      </c>
      <c r="BE20">
        <v>2.987784</v>
      </c>
      <c r="BK20">
        <v>22.987780000000001</v>
      </c>
      <c r="BM20">
        <v>34.987783899999997</v>
      </c>
      <c r="BS20">
        <v>26.987780000000001</v>
      </c>
      <c r="CN20">
        <v>24.987780000000001</v>
      </c>
      <c r="CO20">
        <v>20.987780000000001</v>
      </c>
      <c r="CP20">
        <v>13.987780000000001</v>
      </c>
      <c r="DA20">
        <v>46.987780000000001</v>
      </c>
      <c r="EH20" s="3">
        <f t="shared" si="0"/>
        <v>9.375E-2</v>
      </c>
    </row>
    <row r="21" spans="1:138" x14ac:dyDescent="0.25">
      <c r="A21" s="1">
        <v>8067</v>
      </c>
      <c r="B21" t="s">
        <v>237</v>
      </c>
      <c r="C21" t="s">
        <v>189</v>
      </c>
      <c r="G21">
        <v>680.95190000000002</v>
      </c>
      <c r="H21">
        <v>15.098000000000001</v>
      </c>
      <c r="I21" t="s">
        <v>349</v>
      </c>
      <c r="K21" t="s">
        <v>239</v>
      </c>
      <c r="L21" t="s">
        <v>137</v>
      </c>
      <c r="M21">
        <v>25.92</v>
      </c>
      <c r="N21">
        <v>190.9</v>
      </c>
      <c r="O21">
        <v>-1</v>
      </c>
      <c r="P21">
        <v>1</v>
      </c>
      <c r="Q21">
        <v>14</v>
      </c>
      <c r="R21">
        <v>97.6</v>
      </c>
      <c r="T21" t="b">
        <v>0</v>
      </c>
      <c r="U21" t="s">
        <v>240</v>
      </c>
      <c r="V21">
        <v>681</v>
      </c>
      <c r="W21">
        <v>-4.8099999999976703E-2</v>
      </c>
      <c r="X21">
        <v>680.99539599313698</v>
      </c>
      <c r="Y21">
        <v>681</v>
      </c>
      <c r="Z21">
        <v>-4.6040068633601003E-3</v>
      </c>
      <c r="AA21">
        <v>36</v>
      </c>
      <c r="AB21">
        <v>8</v>
      </c>
      <c r="AC21">
        <v>4</v>
      </c>
      <c r="AD21" t="b">
        <v>1</v>
      </c>
      <c r="AE21" t="s">
        <v>142</v>
      </c>
      <c r="AF21" t="s">
        <v>165</v>
      </c>
      <c r="AG21" t="b">
        <v>0</v>
      </c>
      <c r="AH21" t="b">
        <v>1</v>
      </c>
      <c r="AI21" t="b">
        <v>1</v>
      </c>
      <c r="AJ21" t="b">
        <v>0</v>
      </c>
      <c r="AK21" t="s">
        <v>237</v>
      </c>
      <c r="AL21" t="s">
        <v>239</v>
      </c>
      <c r="AR21" t="b">
        <v>0</v>
      </c>
      <c r="AS21">
        <v>8067</v>
      </c>
      <c r="BD21">
        <v>74.998999999999995</v>
      </c>
      <c r="BJ21">
        <v>84.998999999999995</v>
      </c>
      <c r="BN21">
        <v>68.998999999999995</v>
      </c>
      <c r="BS21">
        <v>79.998999999999995</v>
      </c>
      <c r="BU21">
        <v>49.999000000000002</v>
      </c>
      <c r="CC21">
        <v>84.998999999999995</v>
      </c>
      <c r="CD21">
        <v>81.998999999999995</v>
      </c>
      <c r="CL21">
        <v>102.999</v>
      </c>
      <c r="DY21">
        <v>81.998999999999995</v>
      </c>
      <c r="EH21" s="3">
        <f t="shared" si="0"/>
        <v>9.375E-2</v>
      </c>
    </row>
    <row r="22" spans="1:138" x14ac:dyDescent="0.25">
      <c r="A22" s="1">
        <v>8941</v>
      </c>
      <c r="B22" t="s">
        <v>225</v>
      </c>
      <c r="C22" t="s">
        <v>134</v>
      </c>
      <c r="D22" t="s">
        <v>329</v>
      </c>
      <c r="E22" t="s">
        <v>330</v>
      </c>
      <c r="F22" t="s">
        <v>331</v>
      </c>
      <c r="G22">
        <v>368.97379999999998</v>
      </c>
      <c r="H22">
        <v>2.927</v>
      </c>
      <c r="I22" t="s">
        <v>349</v>
      </c>
      <c r="J22" t="s">
        <v>137</v>
      </c>
      <c r="K22" t="s">
        <v>228</v>
      </c>
      <c r="L22" t="s">
        <v>137</v>
      </c>
      <c r="M22">
        <v>23.07</v>
      </c>
      <c r="N22">
        <v>172.61</v>
      </c>
      <c r="O22">
        <v>-1</v>
      </c>
      <c r="P22">
        <v>1</v>
      </c>
      <c r="Q22">
        <v>11</v>
      </c>
      <c r="R22">
        <v>76.5</v>
      </c>
      <c r="T22" t="b">
        <v>0</v>
      </c>
      <c r="U22" t="s">
        <v>332</v>
      </c>
      <c r="V22">
        <v>369</v>
      </c>
      <c r="W22">
        <v>-2.6200000000017099E-2</v>
      </c>
      <c r="X22">
        <v>368.99736830470999</v>
      </c>
      <c r="Y22">
        <v>369</v>
      </c>
      <c r="Z22">
        <v>-2.6316952895512999E-3</v>
      </c>
      <c r="AA22">
        <v>31</v>
      </c>
      <c r="AB22">
        <v>11</v>
      </c>
      <c r="AC22">
        <v>7</v>
      </c>
      <c r="AD22" t="b">
        <v>1</v>
      </c>
      <c r="AE22" t="s">
        <v>212</v>
      </c>
      <c r="AF22" t="s">
        <v>143</v>
      </c>
      <c r="AG22" t="b">
        <v>0</v>
      </c>
      <c r="AH22" t="b">
        <v>1</v>
      </c>
      <c r="AI22" t="b">
        <v>1</v>
      </c>
      <c r="AJ22" t="b">
        <v>1</v>
      </c>
      <c r="AK22" t="s">
        <v>225</v>
      </c>
      <c r="AL22" t="s">
        <v>228</v>
      </c>
      <c r="AR22" t="b">
        <v>0</v>
      </c>
      <c r="AS22">
        <v>8941</v>
      </c>
      <c r="BK22">
        <v>15.734579999999999</v>
      </c>
      <c r="BW22">
        <v>25.734580000000001</v>
      </c>
      <c r="BZ22">
        <v>12.734579999999999</v>
      </c>
      <c r="CI22">
        <v>23.734580000000001</v>
      </c>
      <c r="CW22">
        <v>0.73457760000000005</v>
      </c>
      <c r="DD22">
        <v>18.734580000000001</v>
      </c>
      <c r="DX22">
        <v>5.7345775999999997</v>
      </c>
      <c r="EH22" s="3">
        <f t="shared" si="0"/>
        <v>7.2916666666666671E-2</v>
      </c>
    </row>
    <row r="23" spans="1:138" x14ac:dyDescent="0.25">
      <c r="A23" s="1">
        <v>8785</v>
      </c>
      <c r="B23" t="s">
        <v>237</v>
      </c>
      <c r="C23" t="s">
        <v>313</v>
      </c>
      <c r="G23">
        <v>400.05009999999999</v>
      </c>
      <c r="H23">
        <v>11.723000000000001</v>
      </c>
      <c r="I23" t="s">
        <v>349</v>
      </c>
      <c r="K23" t="s">
        <v>239</v>
      </c>
      <c r="L23" t="s">
        <v>137</v>
      </c>
      <c r="M23">
        <v>22.166</v>
      </c>
      <c r="N23">
        <v>165.42</v>
      </c>
      <c r="O23">
        <v>-1</v>
      </c>
      <c r="P23">
        <v>1</v>
      </c>
      <c r="Q23">
        <v>12</v>
      </c>
      <c r="R23">
        <v>90.8</v>
      </c>
      <c r="T23" t="b">
        <v>0</v>
      </c>
      <c r="U23" t="s">
        <v>240</v>
      </c>
      <c r="V23">
        <v>400</v>
      </c>
      <c r="W23">
        <v>5.0099999999986301E-2</v>
      </c>
      <c r="X23">
        <v>400.07565331206803</v>
      </c>
      <c r="Y23">
        <v>400</v>
      </c>
      <c r="Z23">
        <v>7.5653312067800002E-2</v>
      </c>
      <c r="AA23">
        <v>46</v>
      </c>
      <c r="AB23">
        <v>39</v>
      </c>
      <c r="AC23">
        <v>4</v>
      </c>
      <c r="AD23" t="b">
        <v>1</v>
      </c>
      <c r="AE23" t="s">
        <v>212</v>
      </c>
      <c r="AF23" t="s">
        <v>143</v>
      </c>
      <c r="AG23" t="b">
        <v>0</v>
      </c>
      <c r="AH23" t="b">
        <v>1</v>
      </c>
      <c r="AI23" t="b">
        <v>1</v>
      </c>
      <c r="AJ23" t="b">
        <v>0</v>
      </c>
      <c r="AK23" t="s">
        <v>237</v>
      </c>
      <c r="AL23" t="s">
        <v>239</v>
      </c>
      <c r="AR23" t="b">
        <v>0</v>
      </c>
      <c r="AS23">
        <v>8785</v>
      </c>
      <c r="AZ23">
        <v>71.998999999999995</v>
      </c>
      <c r="CI23">
        <v>69.998999999999995</v>
      </c>
      <c r="CV23">
        <v>65.998999999999995</v>
      </c>
      <c r="DC23">
        <v>63.999000000000002</v>
      </c>
      <c r="DG23">
        <v>49.999000000000002</v>
      </c>
      <c r="EE23">
        <v>66.998999999999995</v>
      </c>
      <c r="EH23" s="3">
        <f t="shared" si="0"/>
        <v>6.25E-2</v>
      </c>
    </row>
    <row r="24" spans="1:138" x14ac:dyDescent="0.25">
      <c r="A24" s="1">
        <v>5651</v>
      </c>
      <c r="B24" t="s">
        <v>237</v>
      </c>
      <c r="C24" t="s">
        <v>287</v>
      </c>
      <c r="G24">
        <v>301.05439999999999</v>
      </c>
      <c r="H24">
        <v>13.204000000000001</v>
      </c>
      <c r="I24" t="s">
        <v>349</v>
      </c>
      <c r="K24" t="s">
        <v>239</v>
      </c>
      <c r="L24" t="s">
        <v>137</v>
      </c>
      <c r="M24">
        <v>20.210999999999999</v>
      </c>
      <c r="N24">
        <v>152.47</v>
      </c>
      <c r="O24">
        <v>-1</v>
      </c>
      <c r="P24">
        <v>1</v>
      </c>
      <c r="Q24">
        <v>35</v>
      </c>
      <c r="R24">
        <v>90.4</v>
      </c>
      <c r="T24" t="b">
        <v>0</v>
      </c>
      <c r="U24" t="s">
        <v>240</v>
      </c>
      <c r="V24">
        <v>301</v>
      </c>
      <c r="W24">
        <v>5.4399999999986903E-2</v>
      </c>
      <c r="X24">
        <v>301.073629934032</v>
      </c>
      <c r="Y24">
        <v>301</v>
      </c>
      <c r="Z24">
        <v>7.3629934032226202E-2</v>
      </c>
      <c r="AA24">
        <v>41</v>
      </c>
      <c r="AB24">
        <v>23</v>
      </c>
      <c r="AC24">
        <v>3</v>
      </c>
      <c r="AD24" t="b">
        <v>1</v>
      </c>
      <c r="AE24" t="s">
        <v>212</v>
      </c>
      <c r="AF24" t="s">
        <v>143</v>
      </c>
      <c r="AG24" t="b">
        <v>0</v>
      </c>
      <c r="AH24" t="b">
        <v>1</v>
      </c>
      <c r="AI24" t="b">
        <v>1</v>
      </c>
      <c r="AJ24" t="b">
        <v>0</v>
      </c>
      <c r="AK24" t="s">
        <v>237</v>
      </c>
      <c r="AL24" t="s">
        <v>239</v>
      </c>
      <c r="AR24" t="b">
        <v>0</v>
      </c>
      <c r="AS24">
        <v>5651</v>
      </c>
      <c r="BJ24">
        <v>13.494199999999999</v>
      </c>
      <c r="BK24">
        <v>0.49419649999999998</v>
      </c>
      <c r="CC24">
        <v>8.4941960000000005</v>
      </c>
      <c r="CW24">
        <v>5.4941959999999996</v>
      </c>
      <c r="DC24">
        <v>7.4941959999999996</v>
      </c>
      <c r="EF24">
        <v>13.494199999999999</v>
      </c>
      <c r="EH24" s="3">
        <f t="shared" si="0"/>
        <v>6.25E-2</v>
      </c>
    </row>
    <row r="25" spans="1:138" x14ac:dyDescent="0.25">
      <c r="A25" s="1">
        <v>6787</v>
      </c>
      <c r="B25" t="s">
        <v>237</v>
      </c>
      <c r="C25" t="s">
        <v>321</v>
      </c>
      <c r="G25">
        <v>401.04289999999997</v>
      </c>
      <c r="H25">
        <v>13.696999999999999</v>
      </c>
      <c r="I25" t="s">
        <v>349</v>
      </c>
      <c r="K25" t="s">
        <v>239</v>
      </c>
      <c r="L25" t="s">
        <v>137</v>
      </c>
      <c r="M25">
        <v>22.199000000000002</v>
      </c>
      <c r="N25">
        <v>165.75</v>
      </c>
      <c r="O25">
        <v>-1</v>
      </c>
      <c r="P25">
        <v>1</v>
      </c>
      <c r="Q25">
        <v>19</v>
      </c>
      <c r="R25">
        <v>73.599999999999994</v>
      </c>
      <c r="T25" t="b">
        <v>0</v>
      </c>
      <c r="U25" t="s">
        <v>240</v>
      </c>
      <c r="V25">
        <v>401</v>
      </c>
      <c r="W25">
        <v>4.2899999999974597E-2</v>
      </c>
      <c r="X25">
        <v>401.06851672744602</v>
      </c>
      <c r="Y25">
        <v>401</v>
      </c>
      <c r="Z25">
        <v>6.85167274455694E-2</v>
      </c>
      <c r="AA25">
        <v>44</v>
      </c>
      <c r="AB25">
        <v>46</v>
      </c>
      <c r="AC25">
        <v>3</v>
      </c>
      <c r="AD25" t="b">
        <v>1</v>
      </c>
      <c r="AE25" t="s">
        <v>142</v>
      </c>
      <c r="AF25" t="s">
        <v>143</v>
      </c>
      <c r="AG25" t="b">
        <v>0</v>
      </c>
      <c r="AH25" t="b">
        <v>1</v>
      </c>
      <c r="AI25" t="b">
        <v>1</v>
      </c>
      <c r="AJ25" t="b">
        <v>0</v>
      </c>
      <c r="AK25" t="s">
        <v>237</v>
      </c>
      <c r="AL25" t="s">
        <v>239</v>
      </c>
      <c r="AR25" t="b">
        <v>0</v>
      </c>
      <c r="AS25">
        <v>6787</v>
      </c>
      <c r="BG25">
        <v>80.998999999999995</v>
      </c>
      <c r="CC25">
        <v>81.998999999999995</v>
      </c>
      <c r="CP25">
        <v>61.999000000000002</v>
      </c>
      <c r="CW25">
        <v>119.999</v>
      </c>
      <c r="EH25" s="3">
        <f t="shared" si="0"/>
        <v>4.1666666666666664E-2</v>
      </c>
    </row>
    <row r="26" spans="1:138" x14ac:dyDescent="0.25">
      <c r="A26" s="1">
        <v>7072</v>
      </c>
      <c r="B26" t="s">
        <v>237</v>
      </c>
      <c r="C26" t="s">
        <v>134</v>
      </c>
      <c r="G26">
        <v>694.94759999999997</v>
      </c>
      <c r="H26">
        <v>15.055</v>
      </c>
      <c r="I26" t="s">
        <v>349</v>
      </c>
      <c r="K26" t="s">
        <v>239</v>
      </c>
      <c r="L26" t="s">
        <v>137</v>
      </c>
      <c r="M26">
        <v>24.962</v>
      </c>
      <c r="N26">
        <v>183.75</v>
      </c>
      <c r="O26">
        <v>-1</v>
      </c>
      <c r="P26">
        <v>1</v>
      </c>
      <c r="Q26">
        <v>17</v>
      </c>
      <c r="R26">
        <v>99.6</v>
      </c>
      <c r="T26" t="b">
        <v>0</v>
      </c>
      <c r="U26" t="s">
        <v>240</v>
      </c>
      <c r="V26">
        <v>695</v>
      </c>
      <c r="W26">
        <v>-5.2400000000034197E-2</v>
      </c>
      <c r="X26">
        <v>694.99198997239</v>
      </c>
      <c r="Y26">
        <v>695</v>
      </c>
      <c r="Z26">
        <v>-8.0100276101120003E-3</v>
      </c>
      <c r="AA26">
        <v>34</v>
      </c>
      <c r="AB26">
        <v>11</v>
      </c>
      <c r="AC26">
        <v>3</v>
      </c>
      <c r="AD26" t="b">
        <v>1</v>
      </c>
      <c r="AE26" t="s">
        <v>212</v>
      </c>
      <c r="AF26" t="s">
        <v>143</v>
      </c>
      <c r="AG26" t="b">
        <v>0</v>
      </c>
      <c r="AH26" t="b">
        <v>1</v>
      </c>
      <c r="AI26" t="b">
        <v>1</v>
      </c>
      <c r="AJ26" t="b">
        <v>0</v>
      </c>
      <c r="AK26" t="s">
        <v>237</v>
      </c>
      <c r="AL26" t="s">
        <v>239</v>
      </c>
      <c r="AR26" t="b">
        <v>0</v>
      </c>
      <c r="AS26">
        <v>7072</v>
      </c>
      <c r="BJ26">
        <v>54.999000000000002</v>
      </c>
      <c r="CL26">
        <v>108.999</v>
      </c>
      <c r="CZ26">
        <v>105.999</v>
      </c>
      <c r="DQ26">
        <v>83.998999999999995</v>
      </c>
      <c r="EH26" s="3">
        <f t="shared" si="0"/>
        <v>4.1666666666666664E-2</v>
      </c>
    </row>
    <row r="27" spans="1:138" x14ac:dyDescent="0.25">
      <c r="A27" s="1">
        <v>8206</v>
      </c>
      <c r="B27" t="s">
        <v>237</v>
      </c>
      <c r="C27" t="s">
        <v>189</v>
      </c>
      <c r="G27">
        <v>744.94449999999995</v>
      </c>
      <c r="H27">
        <v>16.183</v>
      </c>
      <c r="I27" t="s">
        <v>349</v>
      </c>
      <c r="K27" t="s">
        <v>239</v>
      </c>
      <c r="L27" t="s">
        <v>137</v>
      </c>
      <c r="M27">
        <v>25.86</v>
      </c>
      <c r="N27">
        <v>190.16</v>
      </c>
      <c r="O27">
        <v>-1</v>
      </c>
      <c r="P27">
        <v>1</v>
      </c>
      <c r="Q27">
        <v>12</v>
      </c>
      <c r="R27">
        <v>83.4</v>
      </c>
      <c r="T27" t="b">
        <v>0</v>
      </c>
      <c r="U27" t="s">
        <v>240</v>
      </c>
      <c r="V27">
        <v>745</v>
      </c>
      <c r="W27">
        <v>-5.55000000000518E-2</v>
      </c>
      <c r="X27">
        <v>744.99208353836605</v>
      </c>
      <c r="Y27">
        <v>745</v>
      </c>
      <c r="Z27">
        <v>-7.9164616339538994E-3</v>
      </c>
      <c r="AA27">
        <v>31</v>
      </c>
      <c r="AB27">
        <v>8</v>
      </c>
      <c r="AC27">
        <v>4</v>
      </c>
      <c r="AD27" t="b">
        <v>1</v>
      </c>
      <c r="AE27" t="s">
        <v>142</v>
      </c>
      <c r="AF27" t="s">
        <v>143</v>
      </c>
      <c r="AG27" t="b">
        <v>0</v>
      </c>
      <c r="AH27" t="b">
        <v>1</v>
      </c>
      <c r="AI27" t="b">
        <v>1</v>
      </c>
      <c r="AJ27" t="b">
        <v>0</v>
      </c>
      <c r="AK27" t="s">
        <v>237</v>
      </c>
      <c r="AL27" t="s">
        <v>239</v>
      </c>
      <c r="AR27" t="b">
        <v>0</v>
      </c>
      <c r="AS27">
        <v>8206</v>
      </c>
      <c r="BN27">
        <v>84.998999999999995</v>
      </c>
      <c r="BR27">
        <v>106.999</v>
      </c>
      <c r="CL27">
        <v>60.999000000000002</v>
      </c>
      <c r="CZ27">
        <v>94.998999999999995</v>
      </c>
      <c r="EH27" s="3">
        <f t="shared" si="0"/>
        <v>4.1666666666666664E-2</v>
      </c>
    </row>
    <row r="28" spans="1:138" x14ac:dyDescent="0.25">
      <c r="A28" s="1">
        <v>6337</v>
      </c>
      <c r="B28" t="s">
        <v>237</v>
      </c>
      <c r="C28" t="s">
        <v>287</v>
      </c>
      <c r="G28">
        <v>401.04450000000003</v>
      </c>
      <c r="H28">
        <v>11.597</v>
      </c>
      <c r="I28" t="s">
        <v>349</v>
      </c>
      <c r="K28" t="s">
        <v>239</v>
      </c>
      <c r="L28" t="s">
        <v>137</v>
      </c>
      <c r="M28">
        <v>22.943999999999999</v>
      </c>
      <c r="N28">
        <v>171.21</v>
      </c>
      <c r="O28">
        <v>-1</v>
      </c>
      <c r="P28">
        <v>1</v>
      </c>
      <c r="Q28">
        <v>26</v>
      </c>
      <c r="R28">
        <v>90.5</v>
      </c>
      <c r="T28" t="b">
        <v>0</v>
      </c>
      <c r="U28" t="s">
        <v>240</v>
      </c>
      <c r="V28">
        <v>401</v>
      </c>
      <c r="W28">
        <v>4.4500000000027698E-2</v>
      </c>
      <c r="X28">
        <v>401.070116829646</v>
      </c>
      <c r="Y28">
        <v>401</v>
      </c>
      <c r="Z28">
        <v>7.0116829646110504E-2</v>
      </c>
      <c r="AA28">
        <v>41</v>
      </c>
      <c r="AB28">
        <v>23</v>
      </c>
      <c r="AC28">
        <v>3</v>
      </c>
      <c r="AD28" t="b">
        <v>1</v>
      </c>
      <c r="AE28" t="s">
        <v>212</v>
      </c>
      <c r="AF28" t="s">
        <v>143</v>
      </c>
      <c r="AG28" t="b">
        <v>0</v>
      </c>
      <c r="AH28" t="b">
        <v>1</v>
      </c>
      <c r="AI28" t="b">
        <v>1</v>
      </c>
      <c r="AJ28" t="b">
        <v>0</v>
      </c>
      <c r="AK28" t="s">
        <v>237</v>
      </c>
      <c r="AL28" t="s">
        <v>239</v>
      </c>
      <c r="AR28" t="b">
        <v>0</v>
      </c>
      <c r="AS28">
        <v>6337</v>
      </c>
      <c r="BJ28">
        <v>28.987780000000001</v>
      </c>
      <c r="BK28">
        <v>17.987780000000001</v>
      </c>
      <c r="CI28">
        <v>7.9877840000000004</v>
      </c>
      <c r="EH28" s="3">
        <f t="shared" si="0"/>
        <v>3.125E-2</v>
      </c>
    </row>
    <row r="29" spans="1:138" x14ac:dyDescent="0.25">
      <c r="A29" s="1">
        <v>3826</v>
      </c>
      <c r="B29" t="s">
        <v>237</v>
      </c>
      <c r="C29" t="s">
        <v>313</v>
      </c>
      <c r="G29">
        <v>350.05160000000001</v>
      </c>
      <c r="H29">
        <v>14.352</v>
      </c>
      <c r="I29" t="s">
        <v>349</v>
      </c>
      <c r="K29" t="s">
        <v>239</v>
      </c>
      <c r="L29" t="s">
        <v>137</v>
      </c>
      <c r="M29">
        <v>22.143000000000001</v>
      </c>
      <c r="N29">
        <v>166.04</v>
      </c>
      <c r="O29">
        <v>-1</v>
      </c>
      <c r="P29">
        <v>2</v>
      </c>
      <c r="Q29">
        <v>11</v>
      </c>
      <c r="R29">
        <v>55.8</v>
      </c>
      <c r="T29" t="b">
        <v>0</v>
      </c>
      <c r="U29" t="s">
        <v>240</v>
      </c>
      <c r="V29">
        <v>350</v>
      </c>
      <c r="W29">
        <v>5.1600000000007598E-2</v>
      </c>
      <c r="X29">
        <v>350.07395964389099</v>
      </c>
      <c r="Y29">
        <v>350</v>
      </c>
      <c r="Z29">
        <v>7.3959643891214497E-2</v>
      </c>
      <c r="AA29">
        <v>46</v>
      </c>
      <c r="AB29">
        <v>39</v>
      </c>
      <c r="AC29">
        <v>4</v>
      </c>
      <c r="AD29" t="b">
        <v>1</v>
      </c>
      <c r="AE29" t="s">
        <v>212</v>
      </c>
      <c r="AF29" t="s">
        <v>143</v>
      </c>
      <c r="AG29" t="b">
        <v>0</v>
      </c>
      <c r="AH29" t="b">
        <v>1</v>
      </c>
      <c r="AI29" t="b">
        <v>1</v>
      </c>
      <c r="AJ29" t="b">
        <v>0</v>
      </c>
      <c r="AK29" t="s">
        <v>237</v>
      </c>
      <c r="AL29" t="s">
        <v>239</v>
      </c>
      <c r="AR29" t="b">
        <v>0</v>
      </c>
      <c r="AS29">
        <v>3826</v>
      </c>
      <c r="AZ29">
        <v>398.99900000000002</v>
      </c>
      <c r="CE29">
        <v>345.99900000000002</v>
      </c>
      <c r="CV29">
        <v>266.99900000000002</v>
      </c>
      <c r="EH29" s="3">
        <f t="shared" si="0"/>
        <v>3.125E-2</v>
      </c>
    </row>
    <row r="30" spans="1:138" x14ac:dyDescent="0.25">
      <c r="A30" s="1">
        <v>3970</v>
      </c>
      <c r="B30" t="s">
        <v>237</v>
      </c>
      <c r="C30" t="s">
        <v>316</v>
      </c>
      <c r="G30">
        <v>265.03390000000002</v>
      </c>
      <c r="H30">
        <v>15.141999999999999</v>
      </c>
      <c r="I30" t="s">
        <v>349</v>
      </c>
      <c r="K30" t="s">
        <v>239</v>
      </c>
      <c r="L30" t="s">
        <v>137</v>
      </c>
      <c r="M30">
        <v>18.832000000000001</v>
      </c>
      <c r="N30">
        <v>142.91</v>
      </c>
      <c r="O30">
        <v>-1</v>
      </c>
      <c r="P30">
        <v>1</v>
      </c>
      <c r="Q30">
        <v>12</v>
      </c>
      <c r="R30">
        <v>45.1</v>
      </c>
      <c r="T30" t="b">
        <v>0</v>
      </c>
      <c r="U30" t="s">
        <v>240</v>
      </c>
      <c r="V30">
        <v>265</v>
      </c>
      <c r="W30">
        <v>3.3900000000016903E-2</v>
      </c>
      <c r="X30">
        <v>265.050829114517</v>
      </c>
      <c r="Y30">
        <v>265</v>
      </c>
      <c r="Z30">
        <v>5.0829114516545801E-2</v>
      </c>
      <c r="AA30">
        <v>40</v>
      </c>
      <c r="AB30">
        <v>18</v>
      </c>
      <c r="AC30">
        <v>4</v>
      </c>
      <c r="AD30" t="b">
        <v>1</v>
      </c>
      <c r="AE30" t="s">
        <v>212</v>
      </c>
      <c r="AF30" t="s">
        <v>165</v>
      </c>
      <c r="AG30" t="b">
        <v>0</v>
      </c>
      <c r="AH30" t="b">
        <v>1</v>
      </c>
      <c r="AI30" t="b">
        <v>1</v>
      </c>
      <c r="AJ30" t="b">
        <v>0</v>
      </c>
      <c r="AK30" t="s">
        <v>237</v>
      </c>
      <c r="AL30" t="s">
        <v>239</v>
      </c>
      <c r="AR30" t="b">
        <v>0</v>
      </c>
      <c r="AS30">
        <v>3970</v>
      </c>
      <c r="BA30">
        <v>142.34360000000001</v>
      </c>
      <c r="BJ30">
        <v>245.34360000000001</v>
      </c>
      <c r="CW30">
        <v>339.34359999999998</v>
      </c>
      <c r="EH30" s="3">
        <f t="shared" si="0"/>
        <v>3.125E-2</v>
      </c>
    </row>
    <row r="31" spans="1:138" x14ac:dyDescent="0.25">
      <c r="A31" s="1">
        <v>8780</v>
      </c>
      <c r="B31" t="s">
        <v>237</v>
      </c>
      <c r="C31" t="s">
        <v>318</v>
      </c>
      <c r="G31">
        <v>630.96180000000004</v>
      </c>
      <c r="H31">
        <v>15.342000000000001</v>
      </c>
      <c r="I31" t="s">
        <v>349</v>
      </c>
      <c r="K31" t="s">
        <v>239</v>
      </c>
      <c r="L31" t="s">
        <v>137</v>
      </c>
      <c r="M31">
        <v>24.241</v>
      </c>
      <c r="N31">
        <v>178.67</v>
      </c>
      <c r="O31">
        <v>-1</v>
      </c>
      <c r="P31">
        <v>1</v>
      </c>
      <c r="Q31">
        <v>12</v>
      </c>
      <c r="R31">
        <v>87.9</v>
      </c>
      <c r="T31" t="b">
        <v>0</v>
      </c>
      <c r="U31" t="s">
        <v>240</v>
      </c>
      <c r="V31">
        <v>631</v>
      </c>
      <c r="W31">
        <v>-3.8199999999960703E-2</v>
      </c>
      <c r="X31">
        <v>631.00210286151196</v>
      </c>
      <c r="Y31">
        <v>631</v>
      </c>
      <c r="Z31">
        <v>2.1028615122985999E-3</v>
      </c>
      <c r="AA31">
        <v>32</v>
      </c>
      <c r="AB31">
        <v>5</v>
      </c>
      <c r="AC31">
        <v>3</v>
      </c>
      <c r="AD31" t="b">
        <v>1</v>
      </c>
      <c r="AE31" t="s">
        <v>212</v>
      </c>
      <c r="AF31" t="s">
        <v>143</v>
      </c>
      <c r="AG31" t="b">
        <v>0</v>
      </c>
      <c r="AH31" t="b">
        <v>1</v>
      </c>
      <c r="AI31" t="b">
        <v>1</v>
      </c>
      <c r="AJ31" t="b">
        <v>0</v>
      </c>
      <c r="AK31" t="s">
        <v>237</v>
      </c>
      <c r="AL31" t="s">
        <v>239</v>
      </c>
      <c r="AR31" t="b">
        <v>0</v>
      </c>
      <c r="AS31">
        <v>8780</v>
      </c>
      <c r="BF31">
        <v>51.999000000000002</v>
      </c>
      <c r="BK31">
        <v>55.999000000000002</v>
      </c>
      <c r="DI31">
        <v>58.999000000000002</v>
      </c>
      <c r="EH31" s="3">
        <f t="shared" si="0"/>
        <v>3.125E-2</v>
      </c>
    </row>
    <row r="32" spans="1:138" x14ac:dyDescent="0.25">
      <c r="A32" s="1">
        <v>6135</v>
      </c>
      <c r="B32" t="s">
        <v>237</v>
      </c>
      <c r="C32" t="s">
        <v>192</v>
      </c>
      <c r="G32">
        <v>744.94590000000005</v>
      </c>
      <c r="H32">
        <v>15.641999999999999</v>
      </c>
      <c r="I32" t="s">
        <v>349</v>
      </c>
      <c r="K32" t="s">
        <v>239</v>
      </c>
      <c r="L32" t="s">
        <v>137</v>
      </c>
      <c r="M32">
        <v>25.885999999999999</v>
      </c>
      <c r="N32">
        <v>190.31</v>
      </c>
      <c r="O32">
        <v>-1</v>
      </c>
      <c r="P32">
        <v>1</v>
      </c>
      <c r="Q32">
        <v>21</v>
      </c>
      <c r="R32">
        <v>93.3</v>
      </c>
      <c r="T32" t="b">
        <v>0</v>
      </c>
      <c r="U32" t="s">
        <v>240</v>
      </c>
      <c r="V32">
        <v>745</v>
      </c>
      <c r="W32">
        <v>-5.4099999999948502E-2</v>
      </c>
      <c r="X32">
        <v>744.99348362779199</v>
      </c>
      <c r="Y32">
        <v>745</v>
      </c>
      <c r="Z32">
        <v>-6.5163722084662003E-3</v>
      </c>
      <c r="AA32">
        <v>33</v>
      </c>
      <c r="AB32">
        <v>9</v>
      </c>
      <c r="AC32">
        <v>3</v>
      </c>
      <c r="AD32" t="b">
        <v>1</v>
      </c>
      <c r="AE32" t="s">
        <v>142</v>
      </c>
      <c r="AF32" t="s">
        <v>143</v>
      </c>
      <c r="AG32" t="b">
        <v>0</v>
      </c>
      <c r="AH32" t="b">
        <v>1</v>
      </c>
      <c r="AI32" t="b">
        <v>1</v>
      </c>
      <c r="AJ32" t="b">
        <v>0</v>
      </c>
      <c r="AK32" t="s">
        <v>237</v>
      </c>
      <c r="AL32" t="s">
        <v>239</v>
      </c>
      <c r="AR32" t="b">
        <v>0</v>
      </c>
      <c r="AS32">
        <v>6135</v>
      </c>
      <c r="DF32">
        <v>33.3551</v>
      </c>
      <c r="DQ32">
        <v>42.3551</v>
      </c>
      <c r="DU32">
        <v>34.3551</v>
      </c>
      <c r="EH32" s="3">
        <f t="shared" si="0"/>
        <v>3.125E-2</v>
      </c>
    </row>
    <row r="33" spans="1:138" x14ac:dyDescent="0.25">
      <c r="A33" s="1">
        <v>8946</v>
      </c>
      <c r="B33" t="s">
        <v>237</v>
      </c>
      <c r="C33" t="s">
        <v>166</v>
      </c>
      <c r="G33">
        <v>630.95510000000002</v>
      </c>
      <c r="H33">
        <v>16.277000000000001</v>
      </c>
      <c r="I33" t="s">
        <v>349</v>
      </c>
      <c r="K33" t="s">
        <v>239</v>
      </c>
      <c r="L33" t="s">
        <v>137</v>
      </c>
      <c r="M33">
        <v>24.890999999999998</v>
      </c>
      <c r="N33">
        <v>183.56</v>
      </c>
      <c r="O33">
        <v>-1</v>
      </c>
      <c r="P33">
        <v>1</v>
      </c>
      <c r="Q33">
        <v>11</v>
      </c>
      <c r="R33">
        <v>84</v>
      </c>
      <c r="T33" t="b">
        <v>0</v>
      </c>
      <c r="U33" t="s">
        <v>240</v>
      </c>
      <c r="V33">
        <v>631</v>
      </c>
      <c r="W33">
        <v>-4.4899999999984203E-2</v>
      </c>
      <c r="X33">
        <v>630.99540243354795</v>
      </c>
      <c r="Y33">
        <v>631</v>
      </c>
      <c r="Z33">
        <v>-4.5975664520482998E-3</v>
      </c>
      <c r="AA33">
        <v>35</v>
      </c>
      <c r="AB33">
        <v>14</v>
      </c>
      <c r="AC33">
        <v>4</v>
      </c>
      <c r="AD33" t="b">
        <v>1</v>
      </c>
      <c r="AE33" t="s">
        <v>212</v>
      </c>
      <c r="AF33" t="s">
        <v>143</v>
      </c>
      <c r="AG33" t="b">
        <v>0</v>
      </c>
      <c r="AH33" t="b">
        <v>1</v>
      </c>
      <c r="AI33" t="b">
        <v>1</v>
      </c>
      <c r="AJ33" t="b">
        <v>0</v>
      </c>
      <c r="AK33" t="s">
        <v>237</v>
      </c>
      <c r="AL33" t="s">
        <v>239</v>
      </c>
      <c r="AR33" t="b">
        <v>0</v>
      </c>
      <c r="AS33">
        <v>8946</v>
      </c>
      <c r="CC33">
        <v>7.2916309999999998</v>
      </c>
      <c r="CX33">
        <v>0.29163139999999999</v>
      </c>
      <c r="CY33">
        <v>7.2916309999999998</v>
      </c>
      <c r="EH33" s="3">
        <f t="shared" si="0"/>
        <v>3.125E-2</v>
      </c>
    </row>
    <row r="34" spans="1:138" x14ac:dyDescent="0.25">
      <c r="A34" s="1">
        <v>8600</v>
      </c>
      <c r="B34" t="s">
        <v>225</v>
      </c>
      <c r="C34" t="s">
        <v>192</v>
      </c>
      <c r="D34" t="s">
        <v>329</v>
      </c>
      <c r="E34" t="s">
        <v>330</v>
      </c>
      <c r="F34" t="s">
        <v>331</v>
      </c>
      <c r="G34">
        <v>368.97489999999999</v>
      </c>
      <c r="H34">
        <v>5.7939999999999996</v>
      </c>
      <c r="I34" t="s">
        <v>349</v>
      </c>
      <c r="J34" t="s">
        <v>137</v>
      </c>
      <c r="K34" t="s">
        <v>228</v>
      </c>
      <c r="L34" t="s">
        <v>137</v>
      </c>
      <c r="M34">
        <v>23.125</v>
      </c>
      <c r="N34">
        <v>173.04</v>
      </c>
      <c r="O34">
        <v>-1</v>
      </c>
      <c r="P34">
        <v>1</v>
      </c>
      <c r="Q34">
        <v>14</v>
      </c>
      <c r="R34">
        <v>90.6</v>
      </c>
      <c r="T34" t="b">
        <v>0</v>
      </c>
      <c r="U34" t="s">
        <v>332</v>
      </c>
      <c r="V34">
        <v>369</v>
      </c>
      <c r="W34">
        <v>-2.5100000000009001E-2</v>
      </c>
      <c r="X34">
        <v>368.99846837497302</v>
      </c>
      <c r="Y34">
        <v>369</v>
      </c>
      <c r="Z34">
        <v>-1.5316250267573999E-3</v>
      </c>
      <c r="AA34">
        <v>32</v>
      </c>
      <c r="AB34">
        <v>9</v>
      </c>
      <c r="AC34">
        <v>5</v>
      </c>
      <c r="AD34" t="b">
        <v>1</v>
      </c>
      <c r="AE34" t="s">
        <v>142</v>
      </c>
      <c r="AF34" t="s">
        <v>143</v>
      </c>
      <c r="AG34" t="b">
        <v>0</v>
      </c>
      <c r="AH34" t="b">
        <v>1</v>
      </c>
      <c r="AI34" t="b">
        <v>1</v>
      </c>
      <c r="AJ34" t="b">
        <v>1</v>
      </c>
      <c r="AK34" t="s">
        <v>225</v>
      </c>
      <c r="AL34" t="s">
        <v>228</v>
      </c>
      <c r="AR34" t="b">
        <v>0</v>
      </c>
      <c r="AS34">
        <v>8600</v>
      </c>
      <c r="BC34">
        <v>20.3551</v>
      </c>
      <c r="CN34">
        <v>2.3550979999999999</v>
      </c>
      <c r="EH34" s="3">
        <f t="shared" ref="EH34:EH65" si="1">COUNT(AT34:EG34)/96</f>
        <v>2.0833333333333332E-2</v>
      </c>
    </row>
    <row r="35" spans="1:138" x14ac:dyDescent="0.25">
      <c r="A35" s="1">
        <v>8081</v>
      </c>
      <c r="B35" t="s">
        <v>237</v>
      </c>
      <c r="C35" t="s">
        <v>226</v>
      </c>
      <c r="G35">
        <v>278.99349999999998</v>
      </c>
      <c r="H35">
        <v>7.7649999999999997</v>
      </c>
      <c r="I35" t="s">
        <v>349</v>
      </c>
      <c r="K35" t="s">
        <v>239</v>
      </c>
      <c r="L35" t="s">
        <v>137</v>
      </c>
      <c r="M35">
        <v>18.603999999999999</v>
      </c>
      <c r="N35">
        <v>140.81</v>
      </c>
      <c r="O35">
        <v>-1</v>
      </c>
      <c r="P35">
        <v>1</v>
      </c>
      <c r="Q35">
        <v>17</v>
      </c>
      <c r="R35">
        <v>88.9</v>
      </c>
      <c r="T35" t="b">
        <v>0</v>
      </c>
      <c r="U35" t="s">
        <v>240</v>
      </c>
      <c r="V35">
        <v>279</v>
      </c>
      <c r="W35">
        <v>-6.5000000000167996E-3</v>
      </c>
      <c r="X35">
        <v>279.01132078787202</v>
      </c>
      <c r="Y35">
        <v>279</v>
      </c>
      <c r="Z35">
        <v>1.13207878723074E-2</v>
      </c>
      <c r="AA35">
        <v>40</v>
      </c>
      <c r="AB35">
        <v>15</v>
      </c>
      <c r="AC35">
        <v>3</v>
      </c>
      <c r="AD35" t="b">
        <v>1</v>
      </c>
      <c r="AE35" t="s">
        <v>212</v>
      </c>
      <c r="AF35" t="s">
        <v>165</v>
      </c>
      <c r="AG35" t="b">
        <v>0</v>
      </c>
      <c r="AH35" t="b">
        <v>1</v>
      </c>
      <c r="AI35" t="b">
        <v>1</v>
      </c>
      <c r="AJ35" t="b">
        <v>0</v>
      </c>
      <c r="AK35" t="s">
        <v>237</v>
      </c>
      <c r="AL35" t="s">
        <v>239</v>
      </c>
      <c r="AR35" t="b">
        <v>0</v>
      </c>
      <c r="AS35">
        <v>8081</v>
      </c>
      <c r="BR35">
        <v>49.999000000000002</v>
      </c>
      <c r="DU35">
        <v>69.998999999999995</v>
      </c>
      <c r="EH35" s="3">
        <f t="shared" si="1"/>
        <v>2.0833333333333332E-2</v>
      </c>
    </row>
    <row r="36" spans="1:138" x14ac:dyDescent="0.25">
      <c r="A36" s="1">
        <v>8901</v>
      </c>
      <c r="B36" t="s">
        <v>237</v>
      </c>
      <c r="C36" t="s">
        <v>321</v>
      </c>
      <c r="G36">
        <v>301.05090000000001</v>
      </c>
      <c r="H36">
        <v>9.5489999999999995</v>
      </c>
      <c r="I36" t="s">
        <v>349</v>
      </c>
      <c r="K36" t="s">
        <v>239</v>
      </c>
      <c r="L36" t="s">
        <v>137</v>
      </c>
      <c r="M36">
        <v>20.152000000000001</v>
      </c>
      <c r="N36">
        <v>152</v>
      </c>
      <c r="O36">
        <v>-1</v>
      </c>
      <c r="P36">
        <v>1</v>
      </c>
      <c r="Q36">
        <v>12</v>
      </c>
      <c r="R36">
        <v>73.400000000000006</v>
      </c>
      <c r="T36" t="b">
        <v>0</v>
      </c>
      <c r="U36" t="s">
        <v>240</v>
      </c>
      <c r="V36">
        <v>301</v>
      </c>
      <c r="W36">
        <v>5.0900000000012803E-2</v>
      </c>
      <c r="X36">
        <v>301.07012971046902</v>
      </c>
      <c r="Y36">
        <v>301</v>
      </c>
      <c r="Z36">
        <v>7.0129710468791004E-2</v>
      </c>
      <c r="AA36">
        <v>44</v>
      </c>
      <c r="AB36">
        <v>46</v>
      </c>
      <c r="AC36">
        <v>3</v>
      </c>
      <c r="AD36" t="b">
        <v>1</v>
      </c>
      <c r="AE36" t="s">
        <v>142</v>
      </c>
      <c r="AF36" t="s">
        <v>143</v>
      </c>
      <c r="AG36" t="b">
        <v>0</v>
      </c>
      <c r="AH36" t="b">
        <v>1</v>
      </c>
      <c r="AI36" t="b">
        <v>1</v>
      </c>
      <c r="AJ36" t="b">
        <v>0</v>
      </c>
      <c r="AK36" t="s">
        <v>237</v>
      </c>
      <c r="AL36" t="s">
        <v>239</v>
      </c>
      <c r="AR36" t="b">
        <v>0</v>
      </c>
      <c r="AS36">
        <v>8901</v>
      </c>
      <c r="BG36">
        <v>8.8865010000000009</v>
      </c>
      <c r="BL36">
        <v>9.8865010000000009</v>
      </c>
      <c r="EH36" s="3">
        <f t="shared" si="1"/>
        <v>2.0833333333333332E-2</v>
      </c>
    </row>
    <row r="37" spans="1:138" x14ac:dyDescent="0.25">
      <c r="A37" s="1">
        <v>8884</v>
      </c>
      <c r="B37" t="s">
        <v>237</v>
      </c>
      <c r="C37" t="s">
        <v>193</v>
      </c>
      <c r="G37">
        <v>301.05020000000002</v>
      </c>
      <c r="H37">
        <v>10.77</v>
      </c>
      <c r="I37" t="s">
        <v>349</v>
      </c>
      <c r="K37" t="s">
        <v>239</v>
      </c>
      <c r="L37" t="s">
        <v>137</v>
      </c>
      <c r="M37">
        <v>20.126000000000001</v>
      </c>
      <c r="N37">
        <v>151.79</v>
      </c>
      <c r="O37">
        <v>-1</v>
      </c>
      <c r="P37">
        <v>1</v>
      </c>
      <c r="Q37">
        <v>13</v>
      </c>
      <c r="R37">
        <v>88.9</v>
      </c>
      <c r="T37" t="b">
        <v>0</v>
      </c>
      <c r="U37" t="s">
        <v>240</v>
      </c>
      <c r="V37">
        <v>301</v>
      </c>
      <c r="W37">
        <v>5.0200000000018001E-2</v>
      </c>
      <c r="X37">
        <v>301.06942966575599</v>
      </c>
      <c r="Y37">
        <v>301</v>
      </c>
      <c r="Z37">
        <v>6.9429665756104E-2</v>
      </c>
      <c r="AA37">
        <v>34</v>
      </c>
      <c r="AB37">
        <v>19</v>
      </c>
      <c r="AC37">
        <v>3</v>
      </c>
      <c r="AD37" t="b">
        <v>1</v>
      </c>
      <c r="AE37" t="s">
        <v>142</v>
      </c>
      <c r="AF37" t="s">
        <v>143</v>
      </c>
      <c r="AG37" t="b">
        <v>0</v>
      </c>
      <c r="AH37" t="b">
        <v>1</v>
      </c>
      <c r="AI37" t="b">
        <v>1</v>
      </c>
      <c r="AJ37" t="b">
        <v>0</v>
      </c>
      <c r="AK37" t="s">
        <v>237</v>
      </c>
      <c r="AL37" t="s">
        <v>239</v>
      </c>
      <c r="AR37" t="b">
        <v>0</v>
      </c>
      <c r="AS37">
        <v>8884</v>
      </c>
      <c r="AV37">
        <v>1.342273</v>
      </c>
      <c r="CY37">
        <v>4.3422729999999996</v>
      </c>
      <c r="EH37" s="3">
        <f t="shared" si="1"/>
        <v>2.0833333333333332E-2</v>
      </c>
    </row>
    <row r="38" spans="1:138" x14ac:dyDescent="0.25">
      <c r="A38" s="1">
        <v>5771</v>
      </c>
      <c r="B38" t="s">
        <v>237</v>
      </c>
      <c r="C38" t="s">
        <v>134</v>
      </c>
      <c r="G38">
        <v>331.04430000000002</v>
      </c>
      <c r="H38">
        <v>10.856999999999999</v>
      </c>
      <c r="I38" t="s">
        <v>349</v>
      </c>
      <c r="K38" t="s">
        <v>239</v>
      </c>
      <c r="L38" t="s">
        <v>137</v>
      </c>
      <c r="M38">
        <v>22.225000000000001</v>
      </c>
      <c r="N38">
        <v>167.03</v>
      </c>
      <c r="O38">
        <v>-1</v>
      </c>
      <c r="P38">
        <v>1</v>
      </c>
      <c r="Q38">
        <v>14</v>
      </c>
      <c r="R38">
        <v>51.2</v>
      </c>
      <c r="T38" t="b">
        <v>0</v>
      </c>
      <c r="U38" t="s">
        <v>240</v>
      </c>
      <c r="V38">
        <v>331</v>
      </c>
      <c r="W38">
        <v>4.43000000000211E-2</v>
      </c>
      <c r="X38">
        <v>331.065445547286</v>
      </c>
      <c r="Y38">
        <v>331</v>
      </c>
      <c r="Z38">
        <v>6.54455472856625E-2</v>
      </c>
      <c r="AA38">
        <v>38</v>
      </c>
      <c r="AB38">
        <v>11</v>
      </c>
      <c r="AC38">
        <v>3</v>
      </c>
      <c r="AD38" t="b">
        <v>1</v>
      </c>
      <c r="AE38" t="s">
        <v>212</v>
      </c>
      <c r="AF38" t="s">
        <v>143</v>
      </c>
      <c r="AG38" t="b">
        <v>0</v>
      </c>
      <c r="AH38" t="b">
        <v>1</v>
      </c>
      <c r="AI38" t="b">
        <v>1</v>
      </c>
      <c r="AJ38" t="b">
        <v>0</v>
      </c>
      <c r="AK38" t="s">
        <v>237</v>
      </c>
      <c r="AL38" t="s">
        <v>239</v>
      </c>
      <c r="AR38" t="b">
        <v>0</v>
      </c>
      <c r="AS38">
        <v>5771</v>
      </c>
      <c r="BT38">
        <v>160.999</v>
      </c>
      <c r="CR38">
        <v>159.999</v>
      </c>
      <c r="EH38" s="3">
        <f t="shared" si="1"/>
        <v>2.0833333333333332E-2</v>
      </c>
    </row>
    <row r="39" spans="1:138" x14ac:dyDescent="0.25">
      <c r="A39" s="1">
        <v>8495</v>
      </c>
      <c r="B39" t="s">
        <v>237</v>
      </c>
      <c r="C39" t="s">
        <v>193</v>
      </c>
      <c r="G39">
        <v>401.04899999999998</v>
      </c>
      <c r="H39">
        <v>11.234</v>
      </c>
      <c r="I39" t="s">
        <v>349</v>
      </c>
      <c r="K39" t="s">
        <v>239</v>
      </c>
      <c r="L39" t="s">
        <v>137</v>
      </c>
      <c r="M39">
        <v>23.04</v>
      </c>
      <c r="N39">
        <v>171.92</v>
      </c>
      <c r="O39">
        <v>-1</v>
      </c>
      <c r="P39">
        <v>1</v>
      </c>
      <c r="Q39">
        <v>15</v>
      </c>
      <c r="R39">
        <v>90.4</v>
      </c>
      <c r="T39" t="b">
        <v>0</v>
      </c>
      <c r="U39" t="s">
        <v>240</v>
      </c>
      <c r="V39">
        <v>401</v>
      </c>
      <c r="W39">
        <v>4.89999999999782E-2</v>
      </c>
      <c r="X39">
        <v>401.07461711708498</v>
      </c>
      <c r="Y39">
        <v>401</v>
      </c>
      <c r="Z39">
        <v>7.4617117084812903E-2</v>
      </c>
      <c r="AA39">
        <v>34</v>
      </c>
      <c r="AB39">
        <v>19</v>
      </c>
      <c r="AC39">
        <v>3</v>
      </c>
      <c r="AD39" t="b">
        <v>1</v>
      </c>
      <c r="AE39" t="s">
        <v>142</v>
      </c>
      <c r="AF39" t="s">
        <v>143</v>
      </c>
      <c r="AG39" t="b">
        <v>0</v>
      </c>
      <c r="AH39" t="b">
        <v>1</v>
      </c>
      <c r="AI39" t="b">
        <v>1</v>
      </c>
      <c r="AJ39" t="b">
        <v>0</v>
      </c>
      <c r="AK39" t="s">
        <v>237</v>
      </c>
      <c r="AL39" t="s">
        <v>239</v>
      </c>
      <c r="AR39" t="b">
        <v>0</v>
      </c>
      <c r="AS39">
        <v>8495</v>
      </c>
      <c r="AV39">
        <v>52.999000000000002</v>
      </c>
      <c r="BL39">
        <v>62.999000000000002</v>
      </c>
      <c r="EH39" s="3">
        <f t="shared" si="1"/>
        <v>2.0833333333333332E-2</v>
      </c>
    </row>
    <row r="40" spans="1:138" x14ac:dyDescent="0.25">
      <c r="A40" s="1">
        <v>7619</v>
      </c>
      <c r="B40" t="s">
        <v>237</v>
      </c>
      <c r="C40" t="s">
        <v>287</v>
      </c>
      <c r="G40">
        <v>401.04340000000002</v>
      </c>
      <c r="H40">
        <v>11.628</v>
      </c>
      <c r="I40" t="s">
        <v>349</v>
      </c>
      <c r="K40" t="s">
        <v>239</v>
      </c>
      <c r="L40" t="s">
        <v>137</v>
      </c>
      <c r="M40">
        <v>22.248000000000001</v>
      </c>
      <c r="N40">
        <v>166.11</v>
      </c>
      <c r="O40">
        <v>-1</v>
      </c>
      <c r="P40">
        <v>1</v>
      </c>
      <c r="Q40">
        <v>14</v>
      </c>
      <c r="R40">
        <v>83.2</v>
      </c>
      <c r="T40" t="b">
        <v>0</v>
      </c>
      <c r="U40" t="s">
        <v>240</v>
      </c>
      <c r="V40">
        <v>401</v>
      </c>
      <c r="W40">
        <v>4.3400000000019603E-2</v>
      </c>
      <c r="X40">
        <v>401.06901675938298</v>
      </c>
      <c r="Y40">
        <v>401</v>
      </c>
      <c r="Z40">
        <v>6.9016759383259796E-2</v>
      </c>
      <c r="AA40">
        <v>41</v>
      </c>
      <c r="AB40">
        <v>23</v>
      </c>
      <c r="AC40">
        <v>3</v>
      </c>
      <c r="AD40" t="b">
        <v>1</v>
      </c>
      <c r="AE40" t="s">
        <v>142</v>
      </c>
      <c r="AF40" t="s">
        <v>143</v>
      </c>
      <c r="AG40" t="b">
        <v>0</v>
      </c>
      <c r="AH40" t="b">
        <v>1</v>
      </c>
      <c r="AI40" t="b">
        <v>1</v>
      </c>
      <c r="AJ40" t="b">
        <v>0</v>
      </c>
      <c r="AK40" t="s">
        <v>237</v>
      </c>
      <c r="AL40" t="s">
        <v>239</v>
      </c>
      <c r="AR40" t="b">
        <v>0</v>
      </c>
      <c r="AS40">
        <v>7619</v>
      </c>
      <c r="CY40">
        <v>91.998999999999995</v>
      </c>
      <c r="EF40">
        <v>58.999000000000002</v>
      </c>
      <c r="EH40" s="3">
        <f t="shared" si="1"/>
        <v>2.0833333333333332E-2</v>
      </c>
    </row>
    <row r="41" spans="1:138" x14ac:dyDescent="0.25">
      <c r="A41" s="1">
        <v>7867</v>
      </c>
      <c r="B41" t="s">
        <v>237</v>
      </c>
      <c r="C41" t="s">
        <v>322</v>
      </c>
      <c r="G41">
        <v>301.0521</v>
      </c>
      <c r="H41">
        <v>11.635</v>
      </c>
      <c r="I41" t="s">
        <v>349</v>
      </c>
      <c r="K41" t="s">
        <v>239</v>
      </c>
      <c r="L41" t="s">
        <v>137</v>
      </c>
      <c r="M41">
        <v>21.527000000000001</v>
      </c>
      <c r="N41">
        <v>162.37</v>
      </c>
      <c r="O41">
        <v>-1</v>
      </c>
      <c r="P41">
        <v>1</v>
      </c>
      <c r="Q41">
        <v>18</v>
      </c>
      <c r="R41">
        <v>93.2</v>
      </c>
      <c r="T41" t="b">
        <v>0</v>
      </c>
      <c r="U41" t="s">
        <v>240</v>
      </c>
      <c r="V41">
        <v>301</v>
      </c>
      <c r="W41">
        <v>5.2099999999995802E-2</v>
      </c>
      <c r="X41">
        <v>301.071329787119</v>
      </c>
      <c r="Y41">
        <v>301</v>
      </c>
      <c r="Z41">
        <v>7.1329787119111601E-2</v>
      </c>
      <c r="AA41">
        <v>41</v>
      </c>
      <c r="AB41">
        <v>28</v>
      </c>
      <c r="AC41">
        <v>3</v>
      </c>
      <c r="AD41" t="b">
        <v>1</v>
      </c>
      <c r="AE41" t="s">
        <v>212</v>
      </c>
      <c r="AF41" t="s">
        <v>143</v>
      </c>
      <c r="AG41" t="b">
        <v>0</v>
      </c>
      <c r="AH41" t="b">
        <v>1</v>
      </c>
      <c r="AI41" t="b">
        <v>1</v>
      </c>
      <c r="AJ41" t="b">
        <v>0</v>
      </c>
      <c r="AK41" t="s">
        <v>237</v>
      </c>
      <c r="AL41" t="s">
        <v>239</v>
      </c>
      <c r="AR41" t="b">
        <v>0</v>
      </c>
      <c r="AS41">
        <v>7867</v>
      </c>
      <c r="AX41">
        <v>21.899329999999999</v>
      </c>
      <c r="CP41">
        <v>6.8993270000000004</v>
      </c>
      <c r="EH41" s="3">
        <f t="shared" si="1"/>
        <v>2.0833333333333332E-2</v>
      </c>
    </row>
    <row r="42" spans="1:138" x14ac:dyDescent="0.25">
      <c r="A42" s="1">
        <v>8623</v>
      </c>
      <c r="B42" t="s">
        <v>237</v>
      </c>
      <c r="C42" t="s">
        <v>324</v>
      </c>
      <c r="G42">
        <v>400.0455</v>
      </c>
      <c r="H42">
        <v>12.371</v>
      </c>
      <c r="I42" t="s">
        <v>349</v>
      </c>
      <c r="K42" t="s">
        <v>239</v>
      </c>
      <c r="L42" t="s">
        <v>137</v>
      </c>
      <c r="M42">
        <v>22.254999999999999</v>
      </c>
      <c r="N42">
        <v>166.13</v>
      </c>
      <c r="O42">
        <v>-1</v>
      </c>
      <c r="P42">
        <v>1</v>
      </c>
      <c r="Q42">
        <v>11</v>
      </c>
      <c r="R42">
        <v>79.099999999999994</v>
      </c>
      <c r="T42" t="b">
        <v>0</v>
      </c>
      <c r="U42" t="s">
        <v>240</v>
      </c>
      <c r="V42">
        <v>400</v>
      </c>
      <c r="W42">
        <v>4.55000000000041E-2</v>
      </c>
      <c r="X42">
        <v>400.07105301824203</v>
      </c>
      <c r="Y42">
        <v>400</v>
      </c>
      <c r="Z42">
        <v>7.1053018241570995E-2</v>
      </c>
      <c r="AA42">
        <v>45</v>
      </c>
      <c r="AB42">
        <v>29</v>
      </c>
      <c r="AC42">
        <v>3</v>
      </c>
      <c r="AD42" t="b">
        <v>1</v>
      </c>
      <c r="AE42" t="s">
        <v>212</v>
      </c>
      <c r="AF42" t="s">
        <v>143</v>
      </c>
      <c r="AG42" t="b">
        <v>0</v>
      </c>
      <c r="AH42" t="b">
        <v>1</v>
      </c>
      <c r="AI42" t="b">
        <v>1</v>
      </c>
      <c r="AJ42" t="b">
        <v>0</v>
      </c>
      <c r="AK42" t="s">
        <v>237</v>
      </c>
      <c r="AL42" t="s">
        <v>239</v>
      </c>
      <c r="AR42" t="b">
        <v>0</v>
      </c>
      <c r="AS42">
        <v>8623</v>
      </c>
      <c r="CE42">
        <v>92.998999999999995</v>
      </c>
      <c r="EB42">
        <v>60.999000000000002</v>
      </c>
      <c r="EH42" s="3">
        <f t="shared" si="1"/>
        <v>2.0833333333333332E-2</v>
      </c>
    </row>
    <row r="43" spans="1:138" x14ac:dyDescent="0.25">
      <c r="A43" s="1">
        <v>1064</v>
      </c>
      <c r="B43" t="s">
        <v>237</v>
      </c>
      <c r="C43" t="s">
        <v>193</v>
      </c>
      <c r="G43">
        <v>307.04300000000001</v>
      </c>
      <c r="H43">
        <v>13.468</v>
      </c>
      <c r="I43" t="s">
        <v>349</v>
      </c>
      <c r="K43" t="s">
        <v>239</v>
      </c>
      <c r="L43" t="s">
        <v>137</v>
      </c>
      <c r="M43">
        <v>20.579000000000001</v>
      </c>
      <c r="N43">
        <v>155.13999999999999</v>
      </c>
      <c r="O43">
        <v>-1</v>
      </c>
      <c r="P43">
        <v>3</v>
      </c>
      <c r="Q43">
        <v>15</v>
      </c>
      <c r="R43">
        <v>61.2</v>
      </c>
      <c r="T43" t="b">
        <v>0</v>
      </c>
      <c r="U43" t="s">
        <v>240</v>
      </c>
      <c r="V43">
        <v>307</v>
      </c>
      <c r="W43">
        <v>4.3000000000006401E-2</v>
      </c>
      <c r="X43">
        <v>307.06261245753302</v>
      </c>
      <c r="Y43">
        <v>307</v>
      </c>
      <c r="Z43">
        <v>6.26124575327935E-2</v>
      </c>
      <c r="AA43">
        <v>41</v>
      </c>
      <c r="AB43">
        <v>19</v>
      </c>
      <c r="AC43">
        <v>3</v>
      </c>
      <c r="AD43" t="b">
        <v>1</v>
      </c>
      <c r="AE43" t="s">
        <v>212</v>
      </c>
      <c r="AF43" t="s">
        <v>143</v>
      </c>
      <c r="AG43" t="b">
        <v>0</v>
      </c>
      <c r="AH43" t="b">
        <v>1</v>
      </c>
      <c r="AI43" t="b">
        <v>1</v>
      </c>
      <c r="AJ43" t="b">
        <v>0</v>
      </c>
      <c r="AK43" t="s">
        <v>237</v>
      </c>
      <c r="AL43" t="s">
        <v>239</v>
      </c>
      <c r="AR43" t="b">
        <v>0</v>
      </c>
      <c r="AS43">
        <v>1064</v>
      </c>
      <c r="AT43">
        <v>1466.999</v>
      </c>
      <c r="BT43">
        <v>1394.999</v>
      </c>
      <c r="EH43" s="3">
        <f t="shared" si="1"/>
        <v>2.0833333333333332E-2</v>
      </c>
    </row>
    <row r="44" spans="1:138" x14ac:dyDescent="0.25">
      <c r="A44" s="1">
        <v>6612</v>
      </c>
      <c r="B44" t="s">
        <v>284</v>
      </c>
      <c r="C44" t="s">
        <v>310</v>
      </c>
      <c r="G44">
        <v>357.03719999999998</v>
      </c>
      <c r="H44">
        <v>13.927</v>
      </c>
      <c r="I44" t="s">
        <v>349</v>
      </c>
      <c r="K44" t="s">
        <v>286</v>
      </c>
      <c r="L44" t="s">
        <v>137</v>
      </c>
      <c r="M44">
        <v>22.890999999999998</v>
      </c>
      <c r="N44">
        <v>171.53</v>
      </c>
      <c r="O44">
        <v>-1</v>
      </c>
      <c r="P44">
        <v>1</v>
      </c>
      <c r="Q44">
        <v>23</v>
      </c>
      <c r="R44">
        <v>98.8</v>
      </c>
      <c r="T44" t="b">
        <v>0</v>
      </c>
      <c r="U44" t="s">
        <v>240</v>
      </c>
      <c r="V44">
        <v>357</v>
      </c>
      <c r="W44">
        <v>3.7199999999984398E-2</v>
      </c>
      <c r="X44">
        <v>357.06000585104601</v>
      </c>
      <c r="Y44">
        <v>357</v>
      </c>
      <c r="Z44">
        <v>6.0005851045730203E-2</v>
      </c>
      <c r="AA44">
        <v>37</v>
      </c>
      <c r="AB44">
        <v>27</v>
      </c>
      <c r="AC44">
        <v>3</v>
      </c>
      <c r="AD44" t="b">
        <v>1</v>
      </c>
      <c r="AE44" t="s">
        <v>212</v>
      </c>
      <c r="AF44" t="s">
        <v>143</v>
      </c>
      <c r="AG44" t="b">
        <v>0</v>
      </c>
      <c r="AH44" t="b">
        <v>1</v>
      </c>
      <c r="AI44" t="b">
        <v>1</v>
      </c>
      <c r="AJ44" t="b">
        <v>0</v>
      </c>
      <c r="AK44" t="s">
        <v>284</v>
      </c>
      <c r="AL44" t="s">
        <v>286</v>
      </c>
      <c r="AR44" t="b">
        <v>0</v>
      </c>
      <c r="AS44">
        <v>6612</v>
      </c>
      <c r="BK44">
        <v>14.79804</v>
      </c>
      <c r="BT44">
        <v>23.79804</v>
      </c>
      <c r="EH44" s="3">
        <f t="shared" si="1"/>
        <v>2.0833333333333332E-2</v>
      </c>
    </row>
    <row r="45" spans="1:138" x14ac:dyDescent="0.25">
      <c r="A45" s="1">
        <v>3130</v>
      </c>
      <c r="B45" t="s">
        <v>237</v>
      </c>
      <c r="C45" t="s">
        <v>226</v>
      </c>
      <c r="G45">
        <v>350.05</v>
      </c>
      <c r="H45">
        <v>13.965999999999999</v>
      </c>
      <c r="I45" t="s">
        <v>349</v>
      </c>
      <c r="K45" t="s">
        <v>239</v>
      </c>
      <c r="L45" t="s">
        <v>137</v>
      </c>
      <c r="M45">
        <v>22.123999999999999</v>
      </c>
      <c r="N45">
        <v>165.95</v>
      </c>
      <c r="O45">
        <v>-1</v>
      </c>
      <c r="P45">
        <v>2</v>
      </c>
      <c r="Q45">
        <v>18</v>
      </c>
      <c r="R45">
        <v>51.3</v>
      </c>
      <c r="T45" t="b">
        <v>0</v>
      </c>
      <c r="U45" t="s">
        <v>240</v>
      </c>
      <c r="V45">
        <v>350</v>
      </c>
      <c r="W45">
        <v>5.0000000000011403E-2</v>
      </c>
      <c r="X45">
        <v>350.07235954169101</v>
      </c>
      <c r="Y45">
        <v>350</v>
      </c>
      <c r="Z45">
        <v>7.2359541690786996E-2</v>
      </c>
      <c r="AA45">
        <v>36</v>
      </c>
      <c r="AB45">
        <v>15</v>
      </c>
      <c r="AC45">
        <v>3</v>
      </c>
      <c r="AD45" t="b">
        <v>1</v>
      </c>
      <c r="AE45" t="s">
        <v>212</v>
      </c>
      <c r="AF45" t="s">
        <v>143</v>
      </c>
      <c r="AG45" t="b">
        <v>0</v>
      </c>
      <c r="AH45" t="b">
        <v>1</v>
      </c>
      <c r="AI45" t="b">
        <v>1</v>
      </c>
      <c r="AJ45" t="b">
        <v>0</v>
      </c>
      <c r="AK45" t="s">
        <v>237</v>
      </c>
      <c r="AL45" t="s">
        <v>239</v>
      </c>
      <c r="AR45" t="b">
        <v>0</v>
      </c>
      <c r="AS45">
        <v>3130</v>
      </c>
      <c r="DC45">
        <v>30.678319999999999</v>
      </c>
      <c r="EB45">
        <v>32.678319999999999</v>
      </c>
      <c r="EH45" s="3">
        <f t="shared" si="1"/>
        <v>2.0833333333333332E-2</v>
      </c>
    </row>
    <row r="46" spans="1:138" x14ac:dyDescent="0.25">
      <c r="A46" s="1">
        <v>2173</v>
      </c>
      <c r="B46" t="s">
        <v>237</v>
      </c>
      <c r="C46" t="s">
        <v>248</v>
      </c>
      <c r="G46">
        <v>165.04220000000001</v>
      </c>
      <c r="H46">
        <v>14.992000000000001</v>
      </c>
      <c r="I46" t="s">
        <v>349</v>
      </c>
      <c r="K46" t="s">
        <v>239</v>
      </c>
      <c r="L46" t="s">
        <v>137</v>
      </c>
      <c r="M46">
        <v>16.899000000000001</v>
      </c>
      <c r="N46">
        <v>131.88999999999999</v>
      </c>
      <c r="O46">
        <v>-1</v>
      </c>
      <c r="P46">
        <v>2</v>
      </c>
      <c r="Q46">
        <v>38</v>
      </c>
      <c r="R46">
        <v>99.7</v>
      </c>
      <c r="T46" t="b">
        <v>0</v>
      </c>
      <c r="U46" t="s">
        <v>240</v>
      </c>
      <c r="V46">
        <v>165</v>
      </c>
      <c r="W46">
        <v>4.2200000000008203E-2</v>
      </c>
      <c r="X46">
        <v>165.05274211670201</v>
      </c>
      <c r="Y46">
        <v>165</v>
      </c>
      <c r="Z46">
        <v>5.2742116702290801E-2</v>
      </c>
      <c r="AA46">
        <v>38</v>
      </c>
      <c r="AB46">
        <v>16</v>
      </c>
      <c r="AC46">
        <v>3</v>
      </c>
      <c r="AD46" t="b">
        <v>1</v>
      </c>
      <c r="AE46" t="s">
        <v>212</v>
      </c>
      <c r="AF46" t="s">
        <v>143</v>
      </c>
      <c r="AG46" t="b">
        <v>0</v>
      </c>
      <c r="AH46" t="b">
        <v>1</v>
      </c>
      <c r="AI46" t="b">
        <v>1</v>
      </c>
      <c r="AJ46" t="b">
        <v>0</v>
      </c>
      <c r="AK46" t="s">
        <v>237</v>
      </c>
      <c r="AL46" t="s">
        <v>239</v>
      </c>
      <c r="AR46" t="b">
        <v>0</v>
      </c>
      <c r="AS46">
        <v>2173</v>
      </c>
      <c r="BU46">
        <v>442.95299999999997</v>
      </c>
      <c r="CV46">
        <v>48.953020000000002</v>
      </c>
      <c r="EH46" s="3">
        <f t="shared" si="1"/>
        <v>2.0833333333333332E-2</v>
      </c>
    </row>
    <row r="47" spans="1:138" x14ac:dyDescent="0.25">
      <c r="A47" s="1">
        <v>6300</v>
      </c>
      <c r="B47" t="s">
        <v>237</v>
      </c>
      <c r="C47" t="s">
        <v>134</v>
      </c>
      <c r="G47">
        <v>644.95299999999997</v>
      </c>
      <c r="H47">
        <v>15.22</v>
      </c>
      <c r="I47" t="s">
        <v>349</v>
      </c>
      <c r="K47" t="s">
        <v>239</v>
      </c>
      <c r="L47" t="s">
        <v>137</v>
      </c>
      <c r="M47">
        <v>24.05</v>
      </c>
      <c r="N47">
        <v>177.31</v>
      </c>
      <c r="O47">
        <v>-1</v>
      </c>
      <c r="P47">
        <v>1</v>
      </c>
      <c r="Q47">
        <v>29</v>
      </c>
      <c r="R47">
        <v>97.4</v>
      </c>
      <c r="T47" t="b">
        <v>0</v>
      </c>
      <c r="U47" t="s">
        <v>240</v>
      </c>
      <c r="V47">
        <v>645</v>
      </c>
      <c r="W47">
        <v>-4.7000000000025501E-2</v>
      </c>
      <c r="X47">
        <v>644.99419655332701</v>
      </c>
      <c r="Y47">
        <v>645</v>
      </c>
      <c r="Z47">
        <v>-5.8034466730987003E-3</v>
      </c>
      <c r="AA47">
        <v>34</v>
      </c>
      <c r="AB47">
        <v>11</v>
      </c>
      <c r="AC47">
        <v>3</v>
      </c>
      <c r="AD47" t="b">
        <v>1</v>
      </c>
      <c r="AE47" t="s">
        <v>212</v>
      </c>
      <c r="AF47" t="s">
        <v>143</v>
      </c>
      <c r="AG47" t="b">
        <v>0</v>
      </c>
      <c r="AH47" t="b">
        <v>1</v>
      </c>
      <c r="AI47" t="b">
        <v>1</v>
      </c>
      <c r="AJ47" t="b">
        <v>0</v>
      </c>
      <c r="AK47" t="s">
        <v>237</v>
      </c>
      <c r="AL47" t="s">
        <v>239</v>
      </c>
      <c r="AR47" t="b">
        <v>0</v>
      </c>
      <c r="AS47">
        <v>6300</v>
      </c>
      <c r="BJ47">
        <v>8.3550979999999999</v>
      </c>
      <c r="BN47">
        <v>3.3550979999999999</v>
      </c>
      <c r="EH47" s="3">
        <f t="shared" si="1"/>
        <v>2.0833333333333332E-2</v>
      </c>
    </row>
    <row r="48" spans="1:138" x14ac:dyDescent="0.25">
      <c r="A48" s="1">
        <v>4874</v>
      </c>
      <c r="B48" t="s">
        <v>237</v>
      </c>
      <c r="C48" t="s">
        <v>232</v>
      </c>
      <c r="G48">
        <v>191.0171</v>
      </c>
      <c r="H48">
        <v>15.333</v>
      </c>
      <c r="I48" t="s">
        <v>349</v>
      </c>
      <c r="K48" t="s">
        <v>239</v>
      </c>
      <c r="L48" t="s">
        <v>137</v>
      </c>
      <c r="M48">
        <v>16.515000000000001</v>
      </c>
      <c r="N48">
        <v>127.6</v>
      </c>
      <c r="O48">
        <v>-1</v>
      </c>
      <c r="P48">
        <v>1</v>
      </c>
      <c r="Q48">
        <v>35</v>
      </c>
      <c r="R48">
        <v>98.7</v>
      </c>
      <c r="T48" t="b">
        <v>0</v>
      </c>
      <c r="U48" t="s">
        <v>240</v>
      </c>
      <c r="V48">
        <v>191</v>
      </c>
      <c r="W48">
        <v>1.7099999999999199E-2</v>
      </c>
      <c r="X48">
        <v>191.02930127070701</v>
      </c>
      <c r="Y48">
        <v>191</v>
      </c>
      <c r="Z48">
        <v>2.9301270707321699E-2</v>
      </c>
      <c r="AA48">
        <v>41</v>
      </c>
      <c r="AB48">
        <v>22</v>
      </c>
      <c r="AC48">
        <v>3</v>
      </c>
      <c r="AD48" t="b">
        <v>1</v>
      </c>
      <c r="AE48" t="s">
        <v>142</v>
      </c>
      <c r="AF48" t="s">
        <v>165</v>
      </c>
      <c r="AG48" t="b">
        <v>0</v>
      </c>
      <c r="AH48" t="b">
        <v>1</v>
      </c>
      <c r="AI48" t="b">
        <v>1</v>
      </c>
      <c r="AJ48" t="b">
        <v>0</v>
      </c>
      <c r="AK48" t="s">
        <v>237</v>
      </c>
      <c r="AL48" t="s">
        <v>239</v>
      </c>
      <c r="AR48" t="b">
        <v>0</v>
      </c>
      <c r="AS48">
        <v>4874</v>
      </c>
      <c r="BS48">
        <v>34.452039999999997</v>
      </c>
      <c r="CT48">
        <v>262.452</v>
      </c>
      <c r="EH48" s="3">
        <f t="shared" si="1"/>
        <v>2.0833333333333332E-2</v>
      </c>
    </row>
    <row r="49" spans="1:138" x14ac:dyDescent="0.25">
      <c r="A49" s="1">
        <v>8506</v>
      </c>
      <c r="B49" t="s">
        <v>237</v>
      </c>
      <c r="C49" t="s">
        <v>208</v>
      </c>
      <c r="G49">
        <v>730.94759999999997</v>
      </c>
      <c r="H49">
        <v>16.236000000000001</v>
      </c>
      <c r="I49" t="s">
        <v>349</v>
      </c>
      <c r="K49" t="s">
        <v>239</v>
      </c>
      <c r="L49" t="s">
        <v>137</v>
      </c>
      <c r="M49">
        <v>26.795000000000002</v>
      </c>
      <c r="N49">
        <v>197.07</v>
      </c>
      <c r="O49">
        <v>-1</v>
      </c>
      <c r="P49">
        <v>1</v>
      </c>
      <c r="Q49">
        <v>14</v>
      </c>
      <c r="R49">
        <v>82.1</v>
      </c>
      <c r="T49" t="b">
        <v>0</v>
      </c>
      <c r="U49" t="s">
        <v>240</v>
      </c>
      <c r="V49">
        <v>731</v>
      </c>
      <c r="W49">
        <v>-5.2400000000034197E-2</v>
      </c>
      <c r="X49">
        <v>730.99428948246202</v>
      </c>
      <c r="Y49">
        <v>731</v>
      </c>
      <c r="Z49">
        <v>-5.7105175376363998E-3</v>
      </c>
      <c r="AA49">
        <v>32</v>
      </c>
      <c r="AB49">
        <v>6</v>
      </c>
      <c r="AC49">
        <v>4</v>
      </c>
      <c r="AD49" t="b">
        <v>1</v>
      </c>
      <c r="AE49" t="s">
        <v>212</v>
      </c>
      <c r="AF49" t="s">
        <v>143</v>
      </c>
      <c r="AG49" t="b">
        <v>0</v>
      </c>
      <c r="AH49" t="b">
        <v>1</v>
      </c>
      <c r="AI49" t="b">
        <v>1</v>
      </c>
      <c r="AJ49" t="b">
        <v>0</v>
      </c>
      <c r="AK49" t="s">
        <v>237</v>
      </c>
      <c r="AL49" t="s">
        <v>239</v>
      </c>
      <c r="AR49" t="b">
        <v>0</v>
      </c>
      <c r="AS49">
        <v>8506</v>
      </c>
      <c r="CX49">
        <v>2.3550979999999999</v>
      </c>
      <c r="DG49">
        <v>3.3550979999999999</v>
      </c>
      <c r="EH49" s="3">
        <f t="shared" si="1"/>
        <v>2.0833333333333332E-2</v>
      </c>
    </row>
    <row r="50" spans="1:138" x14ac:dyDescent="0.25">
      <c r="A50" s="1">
        <v>3062</v>
      </c>
      <c r="B50" t="s">
        <v>237</v>
      </c>
      <c r="C50" t="s">
        <v>248</v>
      </c>
      <c r="G50">
        <v>287.03820000000002</v>
      </c>
      <c r="H50">
        <v>16.256</v>
      </c>
      <c r="I50" t="s">
        <v>349</v>
      </c>
      <c r="K50" t="s">
        <v>239</v>
      </c>
      <c r="L50" t="s">
        <v>137</v>
      </c>
      <c r="M50">
        <v>20.597000000000001</v>
      </c>
      <c r="N50">
        <v>155.69</v>
      </c>
      <c r="O50">
        <v>-1</v>
      </c>
      <c r="P50">
        <v>1</v>
      </c>
      <c r="Q50">
        <v>17</v>
      </c>
      <c r="R50">
        <v>50.2</v>
      </c>
      <c r="T50" t="b">
        <v>0</v>
      </c>
      <c r="U50" t="s">
        <v>240</v>
      </c>
      <c r="V50">
        <v>287</v>
      </c>
      <c r="W50">
        <v>3.8200000000017602E-2</v>
      </c>
      <c r="X50">
        <v>287.056534645336</v>
      </c>
      <c r="Y50">
        <v>287</v>
      </c>
      <c r="Z50">
        <v>5.6534645335659703E-2</v>
      </c>
      <c r="AA50">
        <v>40</v>
      </c>
      <c r="AB50">
        <v>16</v>
      </c>
      <c r="AC50">
        <v>3</v>
      </c>
      <c r="AD50" t="b">
        <v>1</v>
      </c>
      <c r="AE50" t="s">
        <v>212</v>
      </c>
      <c r="AF50" t="s">
        <v>143</v>
      </c>
      <c r="AG50" t="b">
        <v>0</v>
      </c>
      <c r="AH50" t="b">
        <v>1</v>
      </c>
      <c r="AI50" t="b">
        <v>1</v>
      </c>
      <c r="AJ50" t="b">
        <v>0</v>
      </c>
      <c r="AK50" t="s">
        <v>237</v>
      </c>
      <c r="AL50" t="s">
        <v>239</v>
      </c>
      <c r="AR50" t="b">
        <v>0</v>
      </c>
      <c r="AS50">
        <v>3062</v>
      </c>
      <c r="BI50">
        <v>374.99900000000002</v>
      </c>
      <c r="ED50">
        <v>377.99900000000002</v>
      </c>
      <c r="EH50" s="3">
        <f t="shared" si="1"/>
        <v>2.0833333333333332E-2</v>
      </c>
    </row>
    <row r="51" spans="1:138" x14ac:dyDescent="0.25">
      <c r="A51" s="1">
        <v>3787</v>
      </c>
      <c r="B51" t="s">
        <v>237</v>
      </c>
      <c r="C51" t="s">
        <v>134</v>
      </c>
      <c r="G51">
        <v>252.9983</v>
      </c>
      <c r="H51">
        <v>2.613</v>
      </c>
      <c r="I51" t="s">
        <v>349</v>
      </c>
      <c r="K51" t="s">
        <v>239</v>
      </c>
      <c r="L51" t="s">
        <v>137</v>
      </c>
      <c r="M51">
        <v>18.481000000000002</v>
      </c>
      <c r="N51">
        <v>140.54</v>
      </c>
      <c r="O51">
        <v>-1</v>
      </c>
      <c r="P51">
        <v>1</v>
      </c>
      <c r="Q51">
        <v>24</v>
      </c>
      <c r="R51">
        <v>43.8</v>
      </c>
      <c r="T51" t="b">
        <v>0</v>
      </c>
      <c r="U51" t="s">
        <v>240</v>
      </c>
      <c r="V51">
        <v>253</v>
      </c>
      <c r="W51">
        <v>-1.6999999999995001E-3</v>
      </c>
      <c r="X51">
        <v>253.01446033719901</v>
      </c>
      <c r="Y51">
        <v>253</v>
      </c>
      <c r="Z51">
        <v>1.44603371990968E-2</v>
      </c>
      <c r="AA51">
        <v>38</v>
      </c>
      <c r="AB51">
        <v>11</v>
      </c>
      <c r="AC51">
        <v>3</v>
      </c>
      <c r="AD51" t="b">
        <v>1</v>
      </c>
      <c r="AE51" t="s">
        <v>212</v>
      </c>
      <c r="AF51" t="s">
        <v>143</v>
      </c>
      <c r="AG51" t="b">
        <v>0</v>
      </c>
      <c r="AH51" t="b">
        <v>1</v>
      </c>
      <c r="AI51" t="b">
        <v>1</v>
      </c>
      <c r="AJ51" t="b">
        <v>0</v>
      </c>
      <c r="AK51" t="s">
        <v>237</v>
      </c>
      <c r="AL51" t="s">
        <v>239</v>
      </c>
      <c r="AR51" t="b">
        <v>0</v>
      </c>
      <c r="AS51">
        <v>3787</v>
      </c>
      <c r="EA51">
        <v>191.999</v>
      </c>
      <c r="EH51" s="3">
        <f t="shared" si="1"/>
        <v>1.0416666666666666E-2</v>
      </c>
    </row>
    <row r="52" spans="1:138" x14ac:dyDescent="0.25">
      <c r="A52" s="1">
        <v>5494</v>
      </c>
      <c r="B52" t="s">
        <v>237</v>
      </c>
      <c r="C52" t="s">
        <v>192</v>
      </c>
      <c r="G52">
        <v>248.97069999999999</v>
      </c>
      <c r="H52">
        <v>3.0339999999999998</v>
      </c>
      <c r="I52" t="s">
        <v>349</v>
      </c>
      <c r="K52" t="s">
        <v>239</v>
      </c>
      <c r="L52" t="s">
        <v>137</v>
      </c>
      <c r="M52">
        <v>13.103999999999999</v>
      </c>
      <c r="N52">
        <v>99.72</v>
      </c>
      <c r="O52">
        <v>-1</v>
      </c>
      <c r="P52">
        <v>1</v>
      </c>
      <c r="Q52">
        <v>14</v>
      </c>
      <c r="R52">
        <v>42.4</v>
      </c>
      <c r="T52" t="b">
        <v>0</v>
      </c>
      <c r="U52" t="s">
        <v>240</v>
      </c>
      <c r="V52">
        <v>249</v>
      </c>
      <c r="W52">
        <v>-2.93000000000063E-2</v>
      </c>
      <c r="X52">
        <v>248.98660307312201</v>
      </c>
      <c r="Y52">
        <v>249</v>
      </c>
      <c r="Z52">
        <v>-1.3396926877788901E-2</v>
      </c>
      <c r="AA52">
        <v>38</v>
      </c>
      <c r="AB52">
        <v>9</v>
      </c>
      <c r="AC52">
        <v>3</v>
      </c>
      <c r="AD52" t="b">
        <v>1</v>
      </c>
      <c r="AE52" t="s">
        <v>142</v>
      </c>
      <c r="AF52" t="s">
        <v>165</v>
      </c>
      <c r="AG52" t="b">
        <v>0</v>
      </c>
      <c r="AH52" t="b">
        <v>1</v>
      </c>
      <c r="AI52" t="b">
        <v>1</v>
      </c>
      <c r="AJ52" t="b">
        <v>0</v>
      </c>
      <c r="AK52" t="s">
        <v>237</v>
      </c>
      <c r="AL52" t="s">
        <v>239</v>
      </c>
      <c r="AR52" t="b">
        <v>0</v>
      </c>
      <c r="AS52">
        <v>5494</v>
      </c>
      <c r="EF52">
        <v>191.999</v>
      </c>
      <c r="EH52" s="3">
        <f t="shared" si="1"/>
        <v>1.0416666666666666E-2</v>
      </c>
    </row>
    <row r="53" spans="1:138" x14ac:dyDescent="0.25">
      <c r="A53" s="1">
        <v>8951</v>
      </c>
      <c r="B53" t="s">
        <v>230</v>
      </c>
      <c r="C53" t="s">
        <v>181</v>
      </c>
      <c r="D53" t="s">
        <v>333</v>
      </c>
      <c r="E53" t="s">
        <v>334</v>
      </c>
      <c r="G53">
        <v>434.94779999999997</v>
      </c>
      <c r="H53">
        <v>4.2300000000000004</v>
      </c>
      <c r="I53" t="s">
        <v>349</v>
      </c>
      <c r="J53" t="s">
        <v>137</v>
      </c>
      <c r="K53" t="s">
        <v>231</v>
      </c>
      <c r="L53" t="s">
        <v>137</v>
      </c>
      <c r="M53">
        <v>24.658999999999999</v>
      </c>
      <c r="N53">
        <v>183.55</v>
      </c>
      <c r="O53">
        <v>-1</v>
      </c>
      <c r="P53">
        <v>1</v>
      </c>
      <c r="Q53">
        <v>11</v>
      </c>
      <c r="R53">
        <v>85.9</v>
      </c>
      <c r="T53" t="b">
        <v>0</v>
      </c>
      <c r="U53" t="s">
        <v>335</v>
      </c>
      <c r="V53">
        <v>435</v>
      </c>
      <c r="W53">
        <v>-5.2200000000027599E-2</v>
      </c>
      <c r="X53">
        <v>434.97558241241899</v>
      </c>
      <c r="Y53">
        <v>435</v>
      </c>
      <c r="Z53">
        <v>-2.4417587580615002E-2</v>
      </c>
      <c r="AA53">
        <v>25</v>
      </c>
      <c r="AB53">
        <v>0</v>
      </c>
      <c r="AC53">
        <v>0</v>
      </c>
      <c r="AD53" t="b">
        <v>1</v>
      </c>
      <c r="AG53" t="b">
        <v>0</v>
      </c>
      <c r="AH53" t="b">
        <v>0</v>
      </c>
      <c r="AI53" t="b">
        <v>0</v>
      </c>
      <c r="AJ53" t="b">
        <v>1</v>
      </c>
      <c r="AK53" t="s">
        <v>230</v>
      </c>
      <c r="AL53" t="s">
        <v>231</v>
      </c>
      <c r="AR53" t="b">
        <v>0</v>
      </c>
      <c r="AS53">
        <v>8951</v>
      </c>
      <c r="EC53">
        <v>0.39291399999999999</v>
      </c>
      <c r="EH53" s="3">
        <f t="shared" si="1"/>
        <v>1.0416666666666666E-2</v>
      </c>
    </row>
    <row r="54" spans="1:138" x14ac:dyDescent="0.25">
      <c r="A54" s="1">
        <v>5332</v>
      </c>
      <c r="B54" t="s">
        <v>237</v>
      </c>
      <c r="C54" t="s">
        <v>307</v>
      </c>
      <c r="G54">
        <v>287.03739999999999</v>
      </c>
      <c r="H54">
        <v>4.399</v>
      </c>
      <c r="I54" t="s">
        <v>349</v>
      </c>
      <c r="K54" t="s">
        <v>239</v>
      </c>
      <c r="L54" t="s">
        <v>137</v>
      </c>
      <c r="M54">
        <v>19.202999999999999</v>
      </c>
      <c r="N54">
        <v>145.19999999999999</v>
      </c>
      <c r="O54">
        <v>-1</v>
      </c>
      <c r="P54">
        <v>1</v>
      </c>
      <c r="Q54">
        <v>11</v>
      </c>
      <c r="R54">
        <v>44</v>
      </c>
      <c r="T54" t="b">
        <v>0</v>
      </c>
      <c r="U54" t="s">
        <v>240</v>
      </c>
      <c r="V54">
        <v>287</v>
      </c>
      <c r="W54">
        <v>3.7399999999991003E-2</v>
      </c>
      <c r="X54">
        <v>287.05573459423499</v>
      </c>
      <c r="Y54">
        <v>287</v>
      </c>
      <c r="Z54">
        <v>5.5734594235389102E-2</v>
      </c>
      <c r="AA54">
        <v>43</v>
      </c>
      <c r="AB54">
        <v>24</v>
      </c>
      <c r="AC54">
        <v>4</v>
      </c>
      <c r="AD54" t="b">
        <v>1</v>
      </c>
      <c r="AE54" t="s">
        <v>142</v>
      </c>
      <c r="AF54" t="s">
        <v>143</v>
      </c>
      <c r="AG54" t="b">
        <v>0</v>
      </c>
      <c r="AH54" t="b">
        <v>1</v>
      </c>
      <c r="AI54" t="b">
        <v>1</v>
      </c>
      <c r="AJ54" t="b">
        <v>0</v>
      </c>
      <c r="AK54" t="s">
        <v>237</v>
      </c>
      <c r="AL54" t="s">
        <v>239</v>
      </c>
      <c r="AR54" t="b">
        <v>0</v>
      </c>
      <c r="AS54">
        <v>5332</v>
      </c>
      <c r="CI54">
        <v>72.887820000000005</v>
      </c>
      <c r="EH54" s="3">
        <f t="shared" si="1"/>
        <v>1.0416666666666666E-2</v>
      </c>
    </row>
    <row r="55" spans="1:138" x14ac:dyDescent="0.25">
      <c r="A55" s="1">
        <v>5042</v>
      </c>
      <c r="B55" t="s">
        <v>237</v>
      </c>
      <c r="C55" t="s">
        <v>205</v>
      </c>
      <c r="G55">
        <v>328.98309999999998</v>
      </c>
      <c r="H55">
        <v>4.8129999999999997</v>
      </c>
      <c r="I55" t="s">
        <v>349</v>
      </c>
      <c r="K55" t="s">
        <v>239</v>
      </c>
      <c r="L55" t="s">
        <v>137</v>
      </c>
      <c r="M55">
        <v>22.314</v>
      </c>
      <c r="N55">
        <v>167.74</v>
      </c>
      <c r="O55">
        <v>-1</v>
      </c>
      <c r="P55">
        <v>1</v>
      </c>
      <c r="Q55">
        <v>34</v>
      </c>
      <c r="R55">
        <v>99.4</v>
      </c>
      <c r="T55" t="b">
        <v>0</v>
      </c>
      <c r="U55" t="s">
        <v>240</v>
      </c>
      <c r="V55">
        <v>329</v>
      </c>
      <c r="W55">
        <v>-1.6900000000020999E-2</v>
      </c>
      <c r="X55">
        <v>329.00411388755901</v>
      </c>
      <c r="Y55">
        <v>329</v>
      </c>
      <c r="Z55">
        <v>4.1138875589013003E-3</v>
      </c>
      <c r="AA55">
        <v>34</v>
      </c>
      <c r="AB55">
        <v>12</v>
      </c>
      <c r="AC55">
        <v>3</v>
      </c>
      <c r="AD55" t="b">
        <v>1</v>
      </c>
      <c r="AE55" t="s">
        <v>212</v>
      </c>
      <c r="AF55" t="s">
        <v>143</v>
      </c>
      <c r="AG55" t="b">
        <v>0</v>
      </c>
      <c r="AH55" t="b">
        <v>1</v>
      </c>
      <c r="AI55" t="b">
        <v>1</v>
      </c>
      <c r="AJ55" t="b">
        <v>0</v>
      </c>
      <c r="AK55" t="s">
        <v>237</v>
      </c>
      <c r="AL55" t="s">
        <v>239</v>
      </c>
      <c r="AR55" t="b">
        <v>0</v>
      </c>
      <c r="AS55">
        <v>5042</v>
      </c>
      <c r="CB55">
        <v>18.131959999999999</v>
      </c>
      <c r="EH55" s="3">
        <f t="shared" si="1"/>
        <v>1.0416666666666666E-2</v>
      </c>
    </row>
    <row r="56" spans="1:138" x14ac:dyDescent="0.25">
      <c r="A56" s="1">
        <v>7155</v>
      </c>
      <c r="B56" t="s">
        <v>237</v>
      </c>
      <c r="C56" t="s">
        <v>152</v>
      </c>
      <c r="G56">
        <v>203.0001</v>
      </c>
      <c r="H56">
        <v>5.5789999999999997</v>
      </c>
      <c r="I56" t="s">
        <v>349</v>
      </c>
      <c r="K56" t="s">
        <v>239</v>
      </c>
      <c r="L56" t="s">
        <v>137</v>
      </c>
      <c r="M56">
        <v>16.584</v>
      </c>
      <c r="N56">
        <v>127.7</v>
      </c>
      <c r="O56">
        <v>-1</v>
      </c>
      <c r="P56">
        <v>1</v>
      </c>
      <c r="Q56">
        <v>16</v>
      </c>
      <c r="R56">
        <v>93.5</v>
      </c>
      <c r="T56" t="b">
        <v>0</v>
      </c>
      <c r="U56" t="s">
        <v>240</v>
      </c>
      <c r="V56">
        <v>203</v>
      </c>
      <c r="W56">
        <v>1.000000000033E-4</v>
      </c>
      <c r="X56">
        <v>203.01306668818501</v>
      </c>
      <c r="Y56">
        <v>203</v>
      </c>
      <c r="Z56">
        <v>1.3066688185063E-2</v>
      </c>
      <c r="AA56">
        <v>29</v>
      </c>
      <c r="AB56">
        <v>7</v>
      </c>
      <c r="AC56">
        <v>3</v>
      </c>
      <c r="AD56" t="b">
        <v>1</v>
      </c>
      <c r="AE56" t="s">
        <v>212</v>
      </c>
      <c r="AF56" t="s">
        <v>165</v>
      </c>
      <c r="AG56" t="b">
        <v>0</v>
      </c>
      <c r="AH56" t="b">
        <v>1</v>
      </c>
      <c r="AI56" t="b">
        <v>1</v>
      </c>
      <c r="AJ56" t="b">
        <v>0</v>
      </c>
      <c r="AK56" t="s">
        <v>237</v>
      </c>
      <c r="AL56" t="s">
        <v>239</v>
      </c>
      <c r="AR56" t="b">
        <v>0</v>
      </c>
      <c r="AS56">
        <v>7155</v>
      </c>
      <c r="DK56">
        <v>74.998999999999995</v>
      </c>
      <c r="EH56" s="3">
        <f t="shared" si="1"/>
        <v>1.0416666666666666E-2</v>
      </c>
    </row>
    <row r="57" spans="1:138" x14ac:dyDescent="0.25">
      <c r="A57" s="1">
        <v>8485</v>
      </c>
      <c r="B57" t="s">
        <v>237</v>
      </c>
      <c r="C57" t="s">
        <v>226</v>
      </c>
      <c r="G57">
        <v>328.98520000000002</v>
      </c>
      <c r="H57">
        <v>6.02</v>
      </c>
      <c r="I57" t="s">
        <v>349</v>
      </c>
      <c r="K57" t="s">
        <v>239</v>
      </c>
      <c r="L57" t="s">
        <v>137</v>
      </c>
      <c r="M57">
        <v>22.312999999999999</v>
      </c>
      <c r="N57">
        <v>167.8</v>
      </c>
      <c r="O57">
        <v>-1</v>
      </c>
      <c r="P57">
        <v>1</v>
      </c>
      <c r="Q57">
        <v>12</v>
      </c>
      <c r="R57">
        <v>82.4</v>
      </c>
      <c r="T57" t="b">
        <v>0</v>
      </c>
      <c r="U57" t="s">
        <v>240</v>
      </c>
      <c r="V57">
        <v>329</v>
      </c>
      <c r="W57">
        <v>-1.4799999999979699E-2</v>
      </c>
      <c r="X57">
        <v>329.00621402169702</v>
      </c>
      <c r="Y57">
        <v>329</v>
      </c>
      <c r="Z57">
        <v>6.2140216970760003E-3</v>
      </c>
      <c r="AA57">
        <v>40</v>
      </c>
      <c r="AB57">
        <v>15</v>
      </c>
      <c r="AC57">
        <v>3</v>
      </c>
      <c r="AD57" t="b">
        <v>1</v>
      </c>
      <c r="AE57" t="s">
        <v>212</v>
      </c>
      <c r="AF57" t="s">
        <v>143</v>
      </c>
      <c r="AG57" t="b">
        <v>0</v>
      </c>
      <c r="AH57" t="b">
        <v>1</v>
      </c>
      <c r="AI57" t="b">
        <v>1</v>
      </c>
      <c r="AJ57" t="b">
        <v>0</v>
      </c>
      <c r="AK57" t="s">
        <v>237</v>
      </c>
      <c r="AL57" t="s">
        <v>239</v>
      </c>
      <c r="AR57" t="b">
        <v>0</v>
      </c>
      <c r="AS57">
        <v>8485</v>
      </c>
      <c r="BR57">
        <v>76.998999999999995</v>
      </c>
      <c r="EH57" s="3">
        <f t="shared" si="1"/>
        <v>1.0416666666666666E-2</v>
      </c>
    </row>
    <row r="58" spans="1:138" x14ac:dyDescent="0.25">
      <c r="A58" s="1">
        <v>3044</v>
      </c>
      <c r="B58" t="s">
        <v>284</v>
      </c>
      <c r="C58" t="s">
        <v>316</v>
      </c>
      <c r="G58">
        <v>252.9991</v>
      </c>
      <c r="H58">
        <v>6.1950000000000003</v>
      </c>
      <c r="I58" t="s">
        <v>349</v>
      </c>
      <c r="K58" t="s">
        <v>286</v>
      </c>
      <c r="L58" t="s">
        <v>137</v>
      </c>
      <c r="M58">
        <v>18.466999999999999</v>
      </c>
      <c r="N58">
        <v>140.44999999999999</v>
      </c>
      <c r="O58">
        <v>-1</v>
      </c>
      <c r="P58">
        <v>1</v>
      </c>
      <c r="Q58">
        <v>26</v>
      </c>
      <c r="R58">
        <v>49.9</v>
      </c>
      <c r="T58" t="b">
        <v>0</v>
      </c>
      <c r="U58" t="s">
        <v>240</v>
      </c>
      <c r="V58">
        <v>253</v>
      </c>
      <c r="W58">
        <v>-9.0000000000140001E-4</v>
      </c>
      <c r="X58">
        <v>253.015260388299</v>
      </c>
      <c r="Y58">
        <v>253</v>
      </c>
      <c r="Z58">
        <v>1.52603882993105E-2</v>
      </c>
      <c r="AA58">
        <v>37</v>
      </c>
      <c r="AB58">
        <v>18</v>
      </c>
      <c r="AC58">
        <v>3</v>
      </c>
      <c r="AD58" t="b">
        <v>1</v>
      </c>
      <c r="AE58" t="s">
        <v>212</v>
      </c>
      <c r="AF58" t="s">
        <v>143</v>
      </c>
      <c r="AG58" t="b">
        <v>0</v>
      </c>
      <c r="AH58" t="b">
        <v>1</v>
      </c>
      <c r="AI58" t="b">
        <v>1</v>
      </c>
      <c r="AJ58" t="b">
        <v>0</v>
      </c>
      <c r="AK58" t="s">
        <v>284</v>
      </c>
      <c r="AL58" t="s">
        <v>286</v>
      </c>
      <c r="AR58" t="b">
        <v>0</v>
      </c>
      <c r="AS58">
        <v>3044</v>
      </c>
      <c r="CC58">
        <v>14.090389999999999</v>
      </c>
      <c r="EH58" s="3">
        <f t="shared" si="1"/>
        <v>1.0416666666666666E-2</v>
      </c>
    </row>
    <row r="59" spans="1:138" x14ac:dyDescent="0.25">
      <c r="A59" s="1">
        <v>6614</v>
      </c>
      <c r="B59" t="s">
        <v>237</v>
      </c>
      <c r="C59" t="s">
        <v>134</v>
      </c>
      <c r="G59">
        <v>202.999</v>
      </c>
      <c r="H59">
        <v>6.3869999999999996</v>
      </c>
      <c r="I59" t="s">
        <v>349</v>
      </c>
      <c r="K59" t="s">
        <v>239</v>
      </c>
      <c r="L59" t="s">
        <v>137</v>
      </c>
      <c r="M59">
        <v>16.593</v>
      </c>
      <c r="N59">
        <v>127.74</v>
      </c>
      <c r="O59">
        <v>-1</v>
      </c>
      <c r="P59">
        <v>1</v>
      </c>
      <c r="Q59">
        <v>19</v>
      </c>
      <c r="R59">
        <v>96.5</v>
      </c>
      <c r="T59" t="b">
        <v>0</v>
      </c>
      <c r="U59" t="s">
        <v>240</v>
      </c>
      <c r="V59">
        <v>203</v>
      </c>
      <c r="W59">
        <v>-1.0000000000047E-3</v>
      </c>
      <c r="X59">
        <v>203.01196661792201</v>
      </c>
      <c r="Y59">
        <v>203</v>
      </c>
      <c r="Z59">
        <v>1.19666179222406E-2</v>
      </c>
      <c r="AA59">
        <v>38</v>
      </c>
      <c r="AB59">
        <v>11</v>
      </c>
      <c r="AC59">
        <v>3</v>
      </c>
      <c r="AD59" t="b">
        <v>1</v>
      </c>
      <c r="AE59" t="s">
        <v>212</v>
      </c>
      <c r="AF59" t="s">
        <v>165</v>
      </c>
      <c r="AG59" t="b">
        <v>0</v>
      </c>
      <c r="AH59" t="b">
        <v>1</v>
      </c>
      <c r="AI59" t="b">
        <v>1</v>
      </c>
      <c r="AJ59" t="b">
        <v>0</v>
      </c>
      <c r="AK59" t="s">
        <v>237</v>
      </c>
      <c r="AL59" t="s">
        <v>239</v>
      </c>
      <c r="AR59" t="b">
        <v>0</v>
      </c>
      <c r="AS59">
        <v>6614</v>
      </c>
      <c r="EA59">
        <v>104.999</v>
      </c>
      <c r="EH59" s="3">
        <f t="shared" si="1"/>
        <v>1.0416666666666666E-2</v>
      </c>
    </row>
    <row r="60" spans="1:138" x14ac:dyDescent="0.25">
      <c r="A60" s="1">
        <v>5731</v>
      </c>
      <c r="B60" t="s">
        <v>237</v>
      </c>
      <c r="C60" t="s">
        <v>152</v>
      </c>
      <c r="G60">
        <v>252.99979999999999</v>
      </c>
      <c r="H60">
        <v>6.3979999999999997</v>
      </c>
      <c r="I60" t="s">
        <v>349</v>
      </c>
      <c r="K60" t="s">
        <v>239</v>
      </c>
      <c r="L60" t="s">
        <v>137</v>
      </c>
      <c r="M60">
        <v>18.440999999999999</v>
      </c>
      <c r="N60">
        <v>140.24</v>
      </c>
      <c r="O60">
        <v>-1</v>
      </c>
      <c r="P60">
        <v>1</v>
      </c>
      <c r="Q60">
        <v>11</v>
      </c>
      <c r="R60">
        <v>43.9</v>
      </c>
      <c r="T60" t="b">
        <v>0</v>
      </c>
      <c r="U60" t="s">
        <v>240</v>
      </c>
      <c r="V60">
        <v>253</v>
      </c>
      <c r="W60">
        <v>-2.0000000000660001E-4</v>
      </c>
      <c r="X60">
        <v>253.015960433012</v>
      </c>
      <c r="Y60">
        <v>253</v>
      </c>
      <c r="Z60">
        <v>1.59604330119976E-2</v>
      </c>
      <c r="AA60">
        <v>29</v>
      </c>
      <c r="AB60">
        <v>7</v>
      </c>
      <c r="AC60">
        <v>3</v>
      </c>
      <c r="AD60" t="b">
        <v>1</v>
      </c>
      <c r="AE60" t="s">
        <v>142</v>
      </c>
      <c r="AF60" t="s">
        <v>143</v>
      </c>
      <c r="AG60" t="b">
        <v>0</v>
      </c>
      <c r="AH60" t="b">
        <v>1</v>
      </c>
      <c r="AI60" t="b">
        <v>1</v>
      </c>
      <c r="AJ60" t="b">
        <v>0</v>
      </c>
      <c r="AK60" t="s">
        <v>237</v>
      </c>
      <c r="AL60" t="s">
        <v>239</v>
      </c>
      <c r="AR60" t="b">
        <v>0</v>
      </c>
      <c r="AS60">
        <v>5731</v>
      </c>
      <c r="DK60">
        <v>218.999</v>
      </c>
      <c r="EH60" s="3">
        <f t="shared" si="1"/>
        <v>1.0416666666666666E-2</v>
      </c>
    </row>
    <row r="61" spans="1:138" x14ac:dyDescent="0.25">
      <c r="A61" s="1">
        <v>7250</v>
      </c>
      <c r="B61" t="s">
        <v>237</v>
      </c>
      <c r="C61" t="s">
        <v>322</v>
      </c>
      <c r="G61">
        <v>328.9821</v>
      </c>
      <c r="H61">
        <v>6.7370000000000001</v>
      </c>
      <c r="I61" t="s">
        <v>349</v>
      </c>
      <c r="K61" t="s">
        <v>239</v>
      </c>
      <c r="L61" t="s">
        <v>137</v>
      </c>
      <c r="M61">
        <v>22.376000000000001</v>
      </c>
      <c r="N61">
        <v>168.22</v>
      </c>
      <c r="O61">
        <v>-1</v>
      </c>
      <c r="P61">
        <v>1</v>
      </c>
      <c r="Q61">
        <v>11</v>
      </c>
      <c r="R61">
        <v>75.7</v>
      </c>
      <c r="T61" t="b">
        <v>0</v>
      </c>
      <c r="U61" t="s">
        <v>240</v>
      </c>
      <c r="V61">
        <v>329</v>
      </c>
      <c r="W61">
        <v>-1.7899999999997401E-2</v>
      </c>
      <c r="X61">
        <v>329.00311382368398</v>
      </c>
      <c r="Y61">
        <v>329</v>
      </c>
      <c r="Z61">
        <v>3.1138236836908998E-3</v>
      </c>
      <c r="AA61">
        <v>37</v>
      </c>
      <c r="AB61">
        <v>28</v>
      </c>
      <c r="AC61">
        <v>3</v>
      </c>
      <c r="AD61" t="b">
        <v>1</v>
      </c>
      <c r="AE61" t="s">
        <v>142</v>
      </c>
      <c r="AF61" t="s">
        <v>143</v>
      </c>
      <c r="AG61" t="b">
        <v>0</v>
      </c>
      <c r="AH61" t="b">
        <v>1</v>
      </c>
      <c r="AI61" t="b">
        <v>1</v>
      </c>
      <c r="AJ61" t="b">
        <v>0</v>
      </c>
      <c r="AK61" t="s">
        <v>237</v>
      </c>
      <c r="AL61" t="s">
        <v>239</v>
      </c>
      <c r="AR61" t="b">
        <v>0</v>
      </c>
      <c r="AS61">
        <v>7250</v>
      </c>
      <c r="DU61">
        <v>94.709590000000006</v>
      </c>
      <c r="EH61" s="3">
        <f t="shared" si="1"/>
        <v>1.0416666666666666E-2</v>
      </c>
    </row>
    <row r="62" spans="1:138" x14ac:dyDescent="0.25">
      <c r="A62" s="1">
        <v>8712</v>
      </c>
      <c r="B62" t="s">
        <v>237</v>
      </c>
      <c r="C62" t="s">
        <v>192</v>
      </c>
      <c r="G62">
        <v>264.93060000000003</v>
      </c>
      <c r="H62">
        <v>7.0990000000000002</v>
      </c>
      <c r="I62" t="s">
        <v>349</v>
      </c>
      <c r="K62" t="s">
        <v>239</v>
      </c>
      <c r="L62" t="s">
        <v>137</v>
      </c>
      <c r="M62">
        <v>19.359000000000002</v>
      </c>
      <c r="N62">
        <v>146.83000000000001</v>
      </c>
      <c r="O62">
        <v>-1</v>
      </c>
      <c r="P62">
        <v>1</v>
      </c>
      <c r="Q62">
        <v>13</v>
      </c>
      <c r="R62">
        <v>98.8</v>
      </c>
      <c r="T62" t="b">
        <v>0</v>
      </c>
      <c r="U62" t="s">
        <v>240</v>
      </c>
      <c r="V62">
        <v>265</v>
      </c>
      <c r="W62">
        <v>-6.9399999999973302E-2</v>
      </c>
      <c r="X62">
        <v>264.94752251620002</v>
      </c>
      <c r="Y62">
        <v>265</v>
      </c>
      <c r="Z62">
        <v>-5.24774837998052E-2</v>
      </c>
      <c r="AA62">
        <v>34</v>
      </c>
      <c r="AB62">
        <v>9</v>
      </c>
      <c r="AC62">
        <v>3</v>
      </c>
      <c r="AD62" t="b">
        <v>1</v>
      </c>
      <c r="AE62" t="s">
        <v>142</v>
      </c>
      <c r="AF62" t="s">
        <v>143</v>
      </c>
      <c r="AG62" t="b">
        <v>0</v>
      </c>
      <c r="AH62" t="b">
        <v>1</v>
      </c>
      <c r="AI62" t="b">
        <v>1</v>
      </c>
      <c r="AJ62" t="b">
        <v>0</v>
      </c>
      <c r="AK62" t="s">
        <v>237</v>
      </c>
      <c r="AL62" t="s">
        <v>239</v>
      </c>
      <c r="AR62" t="b">
        <v>0</v>
      </c>
      <c r="AS62">
        <v>8712</v>
      </c>
      <c r="AW62">
        <v>15.64612</v>
      </c>
      <c r="EH62" s="3">
        <f t="shared" si="1"/>
        <v>1.0416666666666666E-2</v>
      </c>
    </row>
    <row r="63" spans="1:138" x14ac:dyDescent="0.25">
      <c r="A63" s="1">
        <v>8154</v>
      </c>
      <c r="B63" t="s">
        <v>284</v>
      </c>
      <c r="C63" t="s">
        <v>316</v>
      </c>
      <c r="G63">
        <v>202.99950000000001</v>
      </c>
      <c r="H63">
        <v>9.0719999999999992</v>
      </c>
      <c r="I63" t="s">
        <v>349</v>
      </c>
      <c r="K63" t="s">
        <v>286</v>
      </c>
      <c r="L63" t="s">
        <v>137</v>
      </c>
      <c r="M63">
        <v>16.573</v>
      </c>
      <c r="N63">
        <v>127.62</v>
      </c>
      <c r="O63">
        <v>-1</v>
      </c>
      <c r="P63">
        <v>1</v>
      </c>
      <c r="Q63">
        <v>13</v>
      </c>
      <c r="R63">
        <v>97.7</v>
      </c>
      <c r="T63" t="b">
        <v>0</v>
      </c>
      <c r="U63" t="s">
        <v>240</v>
      </c>
      <c r="V63">
        <v>203</v>
      </c>
      <c r="W63">
        <v>-4.9999999998810002E-4</v>
      </c>
      <c r="X63">
        <v>203.01246664985999</v>
      </c>
      <c r="Y63">
        <v>203</v>
      </c>
      <c r="Z63">
        <v>1.24666498599026E-2</v>
      </c>
      <c r="AA63">
        <v>37</v>
      </c>
      <c r="AB63">
        <v>18</v>
      </c>
      <c r="AC63">
        <v>3</v>
      </c>
      <c r="AD63" t="b">
        <v>1</v>
      </c>
      <c r="AE63" t="s">
        <v>212</v>
      </c>
      <c r="AF63" t="s">
        <v>143</v>
      </c>
      <c r="AG63" t="b">
        <v>0</v>
      </c>
      <c r="AH63" t="b">
        <v>1</v>
      </c>
      <c r="AI63" t="b">
        <v>1</v>
      </c>
      <c r="AJ63" t="b">
        <v>0</v>
      </c>
      <c r="AK63" t="s">
        <v>284</v>
      </c>
      <c r="AL63" t="s">
        <v>286</v>
      </c>
      <c r="AR63" t="b">
        <v>0</v>
      </c>
      <c r="AS63">
        <v>8154</v>
      </c>
      <c r="CC63">
        <v>94.998999999999995</v>
      </c>
      <c r="EH63" s="3">
        <f t="shared" si="1"/>
        <v>1.0416666666666666E-2</v>
      </c>
    </row>
    <row r="64" spans="1:138" x14ac:dyDescent="0.25">
      <c r="A64" s="1">
        <v>5693</v>
      </c>
      <c r="B64" t="s">
        <v>237</v>
      </c>
      <c r="C64" t="s">
        <v>264</v>
      </c>
      <c r="G64">
        <v>331.04379999999998</v>
      </c>
      <c r="H64">
        <v>9.6859999999999999</v>
      </c>
      <c r="I64" t="s">
        <v>349</v>
      </c>
      <c r="K64" t="s">
        <v>239</v>
      </c>
      <c r="L64" t="s">
        <v>137</v>
      </c>
      <c r="M64">
        <v>22.216999999999999</v>
      </c>
      <c r="N64">
        <v>166.96</v>
      </c>
      <c r="O64">
        <v>-1</v>
      </c>
      <c r="P64">
        <v>1</v>
      </c>
      <c r="Q64">
        <v>18</v>
      </c>
      <c r="R64">
        <v>48.2</v>
      </c>
      <c r="T64" t="b">
        <v>0</v>
      </c>
      <c r="U64" t="s">
        <v>240</v>
      </c>
      <c r="V64">
        <v>331</v>
      </c>
      <c r="W64">
        <v>4.3799999999976101E-2</v>
      </c>
      <c r="X64">
        <v>331.06494551534797</v>
      </c>
      <c r="Y64">
        <v>331</v>
      </c>
      <c r="Z64">
        <v>6.4945515347972105E-2</v>
      </c>
      <c r="AA64">
        <v>40</v>
      </c>
      <c r="AB64">
        <v>26</v>
      </c>
      <c r="AC64">
        <v>3</v>
      </c>
      <c r="AD64" t="b">
        <v>1</v>
      </c>
      <c r="AE64" t="s">
        <v>212</v>
      </c>
      <c r="AF64" t="s">
        <v>143</v>
      </c>
      <c r="AG64" t="b">
        <v>0</v>
      </c>
      <c r="AH64" t="b">
        <v>1</v>
      </c>
      <c r="AI64" t="b">
        <v>1</v>
      </c>
      <c r="AJ64" t="b">
        <v>0</v>
      </c>
      <c r="AK64" t="s">
        <v>237</v>
      </c>
      <c r="AL64" t="s">
        <v>239</v>
      </c>
      <c r="AR64" t="b">
        <v>0</v>
      </c>
      <c r="AS64">
        <v>5693</v>
      </c>
      <c r="CB64">
        <v>123.999</v>
      </c>
      <c r="EH64" s="3">
        <f t="shared" si="1"/>
        <v>1.0416666666666666E-2</v>
      </c>
    </row>
    <row r="65" spans="1:138" x14ac:dyDescent="0.25">
      <c r="A65" s="1">
        <v>7570</v>
      </c>
      <c r="B65" t="s">
        <v>237</v>
      </c>
      <c r="C65" t="s">
        <v>249</v>
      </c>
      <c r="G65">
        <v>217.04679999999999</v>
      </c>
      <c r="H65">
        <v>9.8000000000000007</v>
      </c>
      <c r="I65" t="s">
        <v>349</v>
      </c>
      <c r="K65" t="s">
        <v>239</v>
      </c>
      <c r="L65" t="s">
        <v>137</v>
      </c>
      <c r="M65">
        <v>18.309999999999999</v>
      </c>
      <c r="N65">
        <v>140.35</v>
      </c>
      <c r="O65">
        <v>-1</v>
      </c>
      <c r="P65">
        <v>1</v>
      </c>
      <c r="Q65">
        <v>19</v>
      </c>
      <c r="R65">
        <v>95</v>
      </c>
      <c r="T65" t="b">
        <v>0</v>
      </c>
      <c r="U65" t="s">
        <v>240</v>
      </c>
      <c r="V65">
        <v>217</v>
      </c>
      <c r="W65">
        <v>4.6799999999990398E-2</v>
      </c>
      <c r="X65">
        <v>217.06066392507799</v>
      </c>
      <c r="Y65">
        <v>217</v>
      </c>
      <c r="Z65">
        <v>6.0663925077676602E-2</v>
      </c>
      <c r="AA65">
        <v>45</v>
      </c>
      <c r="AB65">
        <v>21</v>
      </c>
      <c r="AC65">
        <v>3</v>
      </c>
      <c r="AD65" t="b">
        <v>1</v>
      </c>
      <c r="AE65" t="s">
        <v>212</v>
      </c>
      <c r="AF65" t="s">
        <v>165</v>
      </c>
      <c r="AG65" t="b">
        <v>0</v>
      </c>
      <c r="AH65" t="b">
        <v>1</v>
      </c>
      <c r="AI65" t="b">
        <v>1</v>
      </c>
      <c r="AJ65" t="b">
        <v>0</v>
      </c>
      <c r="AK65" t="s">
        <v>237</v>
      </c>
      <c r="AL65" t="s">
        <v>239</v>
      </c>
      <c r="AR65" t="b">
        <v>0</v>
      </c>
      <c r="AS65">
        <v>7570</v>
      </c>
      <c r="CS65">
        <v>71.998999999999995</v>
      </c>
      <c r="EH65" s="3">
        <f t="shared" si="1"/>
        <v>1.0416666666666666E-2</v>
      </c>
    </row>
    <row r="66" spans="1:138" x14ac:dyDescent="0.25">
      <c r="A66" s="1">
        <v>7592</v>
      </c>
      <c r="B66" t="s">
        <v>237</v>
      </c>
      <c r="C66" t="s">
        <v>322</v>
      </c>
      <c r="G66">
        <v>401.04919999999998</v>
      </c>
      <c r="H66">
        <v>9.83</v>
      </c>
      <c r="I66" t="s">
        <v>349</v>
      </c>
      <c r="K66" t="s">
        <v>239</v>
      </c>
      <c r="L66" t="s">
        <v>137</v>
      </c>
      <c r="M66">
        <v>22.984999999999999</v>
      </c>
      <c r="N66">
        <v>171.51</v>
      </c>
      <c r="O66">
        <v>-1</v>
      </c>
      <c r="P66">
        <v>1</v>
      </c>
      <c r="Q66">
        <v>17</v>
      </c>
      <c r="R66">
        <v>85.5</v>
      </c>
      <c r="T66" t="b">
        <v>0</v>
      </c>
      <c r="U66" t="s">
        <v>240</v>
      </c>
      <c r="V66">
        <v>401</v>
      </c>
      <c r="W66">
        <v>4.9199999999984798E-2</v>
      </c>
      <c r="X66">
        <v>401.07481712985998</v>
      </c>
      <c r="Y66">
        <v>401</v>
      </c>
      <c r="Z66">
        <v>7.4817129859866299E-2</v>
      </c>
      <c r="AA66">
        <v>41</v>
      </c>
      <c r="AB66">
        <v>28</v>
      </c>
      <c r="AC66">
        <v>3</v>
      </c>
      <c r="AD66" t="b">
        <v>1</v>
      </c>
      <c r="AE66" t="s">
        <v>212</v>
      </c>
      <c r="AF66" t="s">
        <v>143</v>
      </c>
      <c r="AG66" t="b">
        <v>0</v>
      </c>
      <c r="AH66" t="b">
        <v>1</v>
      </c>
      <c r="AI66" t="b">
        <v>1</v>
      </c>
      <c r="AJ66" t="b">
        <v>0</v>
      </c>
      <c r="AK66" t="s">
        <v>237</v>
      </c>
      <c r="AL66" t="s">
        <v>239</v>
      </c>
      <c r="AR66" t="b">
        <v>0</v>
      </c>
      <c r="AS66">
        <v>7592</v>
      </c>
      <c r="AX66">
        <v>89.998999999999995</v>
      </c>
      <c r="EH66" s="3">
        <f t="shared" ref="EH66:EH97" si="2">COUNT(AT66:EG66)/96</f>
        <v>1.0416666666666666E-2</v>
      </c>
    </row>
    <row r="67" spans="1:138" x14ac:dyDescent="0.25">
      <c r="A67" s="1">
        <v>8854</v>
      </c>
      <c r="B67" t="s">
        <v>237</v>
      </c>
      <c r="C67" t="s">
        <v>312</v>
      </c>
      <c r="G67">
        <v>427.04219999999998</v>
      </c>
      <c r="H67">
        <v>10.358000000000001</v>
      </c>
      <c r="I67" t="s">
        <v>349</v>
      </c>
      <c r="K67" t="s">
        <v>239</v>
      </c>
      <c r="L67" t="s">
        <v>137</v>
      </c>
      <c r="M67">
        <v>23.795999999999999</v>
      </c>
      <c r="N67">
        <v>177.19</v>
      </c>
      <c r="O67">
        <v>-1</v>
      </c>
      <c r="P67">
        <v>1</v>
      </c>
      <c r="Q67">
        <v>14</v>
      </c>
      <c r="R67">
        <v>86.7</v>
      </c>
      <c r="T67" t="b">
        <v>0</v>
      </c>
      <c r="U67" t="s">
        <v>240</v>
      </c>
      <c r="V67">
        <v>427</v>
      </c>
      <c r="W67">
        <v>4.2199999999979802E-2</v>
      </c>
      <c r="X67">
        <v>427.06947744000701</v>
      </c>
      <c r="Y67">
        <v>427</v>
      </c>
      <c r="Z67">
        <v>6.94774400074607E-2</v>
      </c>
      <c r="AA67">
        <v>44</v>
      </c>
      <c r="AB67">
        <v>31</v>
      </c>
      <c r="AC67">
        <v>3</v>
      </c>
      <c r="AD67" t="b">
        <v>1</v>
      </c>
      <c r="AE67" t="s">
        <v>212</v>
      </c>
      <c r="AF67" t="s">
        <v>143</v>
      </c>
      <c r="AG67" t="b">
        <v>0</v>
      </c>
      <c r="AH67" t="b">
        <v>1</v>
      </c>
      <c r="AI67" t="b">
        <v>1</v>
      </c>
      <c r="AJ67" t="b">
        <v>0</v>
      </c>
      <c r="AK67" t="s">
        <v>237</v>
      </c>
      <c r="AL67" t="s">
        <v>239</v>
      </c>
      <c r="AR67" t="b">
        <v>0</v>
      </c>
      <c r="AS67">
        <v>8854</v>
      </c>
      <c r="BY67">
        <v>13.785220000000001</v>
      </c>
      <c r="EH67" s="3">
        <f t="shared" si="2"/>
        <v>1.0416666666666666E-2</v>
      </c>
    </row>
    <row r="68" spans="1:138" x14ac:dyDescent="0.25">
      <c r="A68" s="1">
        <v>8859</v>
      </c>
      <c r="B68" t="s">
        <v>237</v>
      </c>
      <c r="C68" t="s">
        <v>307</v>
      </c>
      <c r="G68">
        <v>355.04820000000001</v>
      </c>
      <c r="H68">
        <v>11.974</v>
      </c>
      <c r="I68" t="s">
        <v>349</v>
      </c>
      <c r="K68" t="s">
        <v>239</v>
      </c>
      <c r="L68" t="s">
        <v>137</v>
      </c>
      <c r="M68">
        <v>21.582999999999998</v>
      </c>
      <c r="N68">
        <v>161.76</v>
      </c>
      <c r="O68">
        <v>-1</v>
      </c>
      <c r="P68">
        <v>1</v>
      </c>
      <c r="Q68">
        <v>12</v>
      </c>
      <c r="R68">
        <v>77.900000000000006</v>
      </c>
      <c r="T68" t="b">
        <v>0</v>
      </c>
      <c r="U68" t="s">
        <v>240</v>
      </c>
      <c r="V68">
        <v>355</v>
      </c>
      <c r="W68">
        <v>4.82000000000085E-2</v>
      </c>
      <c r="X68">
        <v>355.070878803114</v>
      </c>
      <c r="Y68">
        <v>355</v>
      </c>
      <c r="Z68">
        <v>7.0878803114226202E-2</v>
      </c>
      <c r="AA68">
        <v>43</v>
      </c>
      <c r="AB68">
        <v>24</v>
      </c>
      <c r="AC68">
        <v>3</v>
      </c>
      <c r="AD68" t="b">
        <v>1</v>
      </c>
      <c r="AE68" t="s">
        <v>212</v>
      </c>
      <c r="AF68" t="s">
        <v>143</v>
      </c>
      <c r="AG68" t="b">
        <v>0</v>
      </c>
      <c r="AH68" t="b">
        <v>1</v>
      </c>
      <c r="AI68" t="b">
        <v>1</v>
      </c>
      <c r="AJ68" t="b">
        <v>0</v>
      </c>
      <c r="AK68" t="s">
        <v>237</v>
      </c>
      <c r="AL68" t="s">
        <v>239</v>
      </c>
      <c r="AR68" t="b">
        <v>0</v>
      </c>
      <c r="AS68">
        <v>8859</v>
      </c>
      <c r="CA68">
        <v>58.999000000000002</v>
      </c>
      <c r="EH68" s="3">
        <f t="shared" si="2"/>
        <v>1.0416666666666666E-2</v>
      </c>
    </row>
    <row r="69" spans="1:138" x14ac:dyDescent="0.25">
      <c r="A69" s="1">
        <v>7132</v>
      </c>
      <c r="B69" t="s">
        <v>237</v>
      </c>
      <c r="C69" t="s">
        <v>205</v>
      </c>
      <c r="G69">
        <v>329.05059999999997</v>
      </c>
      <c r="H69">
        <v>12.231999999999999</v>
      </c>
      <c r="I69" t="s">
        <v>349</v>
      </c>
      <c r="K69" t="s">
        <v>239</v>
      </c>
      <c r="L69" t="s">
        <v>137</v>
      </c>
      <c r="M69">
        <v>21.359000000000002</v>
      </c>
      <c r="N69">
        <v>160.58000000000001</v>
      </c>
      <c r="O69">
        <v>-1</v>
      </c>
      <c r="P69">
        <v>1</v>
      </c>
      <c r="Q69">
        <v>11</v>
      </c>
      <c r="R69">
        <v>45.6</v>
      </c>
      <c r="T69" t="b">
        <v>0</v>
      </c>
      <c r="U69" t="s">
        <v>240</v>
      </c>
      <c r="V69">
        <v>329</v>
      </c>
      <c r="W69">
        <v>5.0599999999974402E-2</v>
      </c>
      <c r="X69">
        <v>329.07161819914</v>
      </c>
      <c r="Y69">
        <v>329</v>
      </c>
      <c r="Z69">
        <v>7.1618199140289093E-2</v>
      </c>
      <c r="AA69">
        <v>39</v>
      </c>
      <c r="AB69">
        <v>12</v>
      </c>
      <c r="AC69">
        <v>3</v>
      </c>
      <c r="AD69" t="b">
        <v>1</v>
      </c>
      <c r="AE69" t="s">
        <v>212</v>
      </c>
      <c r="AF69" t="s">
        <v>143</v>
      </c>
      <c r="AG69" t="b">
        <v>0</v>
      </c>
      <c r="AH69" t="b">
        <v>1</v>
      </c>
      <c r="AI69" t="b">
        <v>1</v>
      </c>
      <c r="AJ69" t="b">
        <v>0</v>
      </c>
      <c r="AK69" t="s">
        <v>237</v>
      </c>
      <c r="AL69" t="s">
        <v>239</v>
      </c>
      <c r="AR69" t="b">
        <v>0</v>
      </c>
      <c r="AS69">
        <v>7132</v>
      </c>
      <c r="BP69">
        <v>174.999</v>
      </c>
      <c r="EH69" s="3">
        <f t="shared" si="2"/>
        <v>1.0416666666666666E-2</v>
      </c>
    </row>
    <row r="70" spans="1:138" x14ac:dyDescent="0.25">
      <c r="A70" s="1">
        <v>5214</v>
      </c>
      <c r="B70" t="s">
        <v>237</v>
      </c>
      <c r="C70" t="s">
        <v>248</v>
      </c>
      <c r="G70">
        <v>309.0401</v>
      </c>
      <c r="H70">
        <v>12.704000000000001</v>
      </c>
      <c r="I70" t="s">
        <v>349</v>
      </c>
      <c r="K70" t="s">
        <v>239</v>
      </c>
      <c r="L70" t="s">
        <v>137</v>
      </c>
      <c r="M70">
        <v>20.488</v>
      </c>
      <c r="N70">
        <v>154.41</v>
      </c>
      <c r="O70">
        <v>-1</v>
      </c>
      <c r="P70">
        <v>1</v>
      </c>
      <c r="Q70">
        <v>18</v>
      </c>
      <c r="R70">
        <v>54.5</v>
      </c>
      <c r="T70" t="b">
        <v>0</v>
      </c>
      <c r="U70" t="s">
        <v>240</v>
      </c>
      <c r="V70">
        <v>309</v>
      </c>
      <c r="W70">
        <v>4.0099999999995403E-2</v>
      </c>
      <c r="X70">
        <v>309.05984002285402</v>
      </c>
      <c r="Y70">
        <v>309</v>
      </c>
      <c r="Z70">
        <v>5.98400228540754E-2</v>
      </c>
      <c r="AA70">
        <v>33</v>
      </c>
      <c r="AB70">
        <v>16</v>
      </c>
      <c r="AC70">
        <v>3</v>
      </c>
      <c r="AD70" t="b">
        <v>1</v>
      </c>
      <c r="AE70" t="s">
        <v>212</v>
      </c>
      <c r="AF70" t="s">
        <v>143</v>
      </c>
      <c r="AG70" t="b">
        <v>0</v>
      </c>
      <c r="AH70" t="b">
        <v>1</v>
      </c>
      <c r="AI70" t="b">
        <v>1</v>
      </c>
      <c r="AJ70" t="b">
        <v>0</v>
      </c>
      <c r="AK70" t="s">
        <v>237</v>
      </c>
      <c r="AL70" t="s">
        <v>239</v>
      </c>
      <c r="AR70" t="b">
        <v>0</v>
      </c>
      <c r="AS70">
        <v>5214</v>
      </c>
      <c r="AV70">
        <v>6.8243539999999996</v>
      </c>
      <c r="EH70" s="3">
        <f t="shared" si="2"/>
        <v>1.0416666666666666E-2</v>
      </c>
    </row>
    <row r="71" spans="1:138" x14ac:dyDescent="0.25">
      <c r="A71" s="1">
        <v>8444</v>
      </c>
      <c r="B71" t="s">
        <v>237</v>
      </c>
      <c r="C71" t="s">
        <v>208</v>
      </c>
      <c r="G71">
        <v>357.04020000000003</v>
      </c>
      <c r="H71">
        <v>12.722</v>
      </c>
      <c r="I71" t="s">
        <v>349</v>
      </c>
      <c r="K71" t="s">
        <v>239</v>
      </c>
      <c r="L71" t="s">
        <v>137</v>
      </c>
      <c r="M71">
        <v>22.821000000000002</v>
      </c>
      <c r="N71">
        <v>171.03</v>
      </c>
      <c r="O71">
        <v>-1</v>
      </c>
      <c r="P71">
        <v>1</v>
      </c>
      <c r="Q71">
        <v>11</v>
      </c>
      <c r="R71">
        <v>73.900000000000006</v>
      </c>
      <c r="T71" t="b">
        <v>0</v>
      </c>
      <c r="U71" t="s">
        <v>240</v>
      </c>
      <c r="V71">
        <v>357</v>
      </c>
      <c r="W71">
        <v>4.0200000000027103E-2</v>
      </c>
      <c r="X71">
        <v>357.06300604267199</v>
      </c>
      <c r="Y71">
        <v>357</v>
      </c>
      <c r="Z71">
        <v>6.3006042671588602E-2</v>
      </c>
      <c r="AA71">
        <v>35</v>
      </c>
      <c r="AB71">
        <v>6</v>
      </c>
      <c r="AC71">
        <v>3</v>
      </c>
      <c r="AD71" t="b">
        <v>1</v>
      </c>
      <c r="AE71" t="s">
        <v>212</v>
      </c>
      <c r="AF71" t="s">
        <v>165</v>
      </c>
      <c r="AG71" t="b">
        <v>0</v>
      </c>
      <c r="AH71" t="b">
        <v>1</v>
      </c>
      <c r="AI71" t="b">
        <v>1</v>
      </c>
      <c r="AJ71" t="b">
        <v>0</v>
      </c>
      <c r="AK71" t="s">
        <v>237</v>
      </c>
      <c r="AL71" t="s">
        <v>239</v>
      </c>
      <c r="AR71" t="b">
        <v>0</v>
      </c>
      <c r="AS71">
        <v>8444</v>
      </c>
      <c r="DW71">
        <v>95.998999999999995</v>
      </c>
      <c r="EH71" s="3">
        <f t="shared" si="2"/>
        <v>1.0416666666666666E-2</v>
      </c>
    </row>
    <row r="72" spans="1:138" x14ac:dyDescent="0.25">
      <c r="A72" s="1">
        <v>6941</v>
      </c>
      <c r="B72" t="s">
        <v>237</v>
      </c>
      <c r="C72" t="s">
        <v>226</v>
      </c>
      <c r="G72">
        <v>402.03800000000001</v>
      </c>
      <c r="H72">
        <v>12.86</v>
      </c>
      <c r="I72" t="s">
        <v>349</v>
      </c>
      <c r="K72" t="s">
        <v>239</v>
      </c>
      <c r="L72" t="s">
        <v>137</v>
      </c>
      <c r="M72">
        <v>22.983000000000001</v>
      </c>
      <c r="N72">
        <v>171.49</v>
      </c>
      <c r="O72">
        <v>-1</v>
      </c>
      <c r="P72">
        <v>1</v>
      </c>
      <c r="Q72">
        <v>23</v>
      </c>
      <c r="R72">
        <v>85.7</v>
      </c>
      <c r="T72" t="b">
        <v>0</v>
      </c>
      <c r="U72" t="s">
        <v>240</v>
      </c>
      <c r="V72">
        <v>402</v>
      </c>
      <c r="W72">
        <v>3.80000000000109E-2</v>
      </c>
      <c r="X72">
        <v>402.06368028973702</v>
      </c>
      <c r="Y72">
        <v>402</v>
      </c>
      <c r="Z72">
        <v>6.3680289736566906E-2</v>
      </c>
      <c r="AA72">
        <v>43</v>
      </c>
      <c r="AB72">
        <v>15</v>
      </c>
      <c r="AC72">
        <v>3</v>
      </c>
      <c r="AD72" t="b">
        <v>1</v>
      </c>
      <c r="AE72" t="s">
        <v>142</v>
      </c>
      <c r="AF72" t="s">
        <v>165</v>
      </c>
      <c r="AG72" t="b">
        <v>0</v>
      </c>
      <c r="AH72" t="b">
        <v>1</v>
      </c>
      <c r="AI72" t="b">
        <v>1</v>
      </c>
      <c r="AJ72" t="b">
        <v>0</v>
      </c>
      <c r="AK72" t="s">
        <v>237</v>
      </c>
      <c r="AL72" t="s">
        <v>239</v>
      </c>
      <c r="AR72" t="b">
        <v>0</v>
      </c>
      <c r="AS72">
        <v>6941</v>
      </c>
      <c r="BQ72">
        <v>8.3044569999999993</v>
      </c>
      <c r="EH72" s="3">
        <f t="shared" si="2"/>
        <v>1.0416666666666666E-2</v>
      </c>
    </row>
    <row r="73" spans="1:138" x14ac:dyDescent="0.25">
      <c r="A73" s="1">
        <v>7206</v>
      </c>
      <c r="B73" t="s">
        <v>237</v>
      </c>
      <c r="C73" t="s">
        <v>249</v>
      </c>
      <c r="G73">
        <v>357.03870000000001</v>
      </c>
      <c r="H73">
        <v>12.939</v>
      </c>
      <c r="I73" t="s">
        <v>349</v>
      </c>
      <c r="K73" t="s">
        <v>239</v>
      </c>
      <c r="L73" t="s">
        <v>137</v>
      </c>
      <c r="M73">
        <v>22.873000000000001</v>
      </c>
      <c r="N73">
        <v>171.45</v>
      </c>
      <c r="O73">
        <v>-1</v>
      </c>
      <c r="P73">
        <v>1</v>
      </c>
      <c r="Q73">
        <v>15</v>
      </c>
      <c r="R73">
        <v>90.7</v>
      </c>
      <c r="T73" t="b">
        <v>0</v>
      </c>
      <c r="U73" t="s">
        <v>240</v>
      </c>
      <c r="V73">
        <v>357</v>
      </c>
      <c r="W73">
        <v>3.8700000000005702E-2</v>
      </c>
      <c r="X73">
        <v>357.06150594685897</v>
      </c>
      <c r="Y73">
        <v>357</v>
      </c>
      <c r="Z73">
        <v>6.1505946858630998E-2</v>
      </c>
      <c r="AA73">
        <v>42</v>
      </c>
      <c r="AB73">
        <v>21</v>
      </c>
      <c r="AC73">
        <v>3</v>
      </c>
      <c r="AD73" t="b">
        <v>1</v>
      </c>
      <c r="AE73" t="s">
        <v>212</v>
      </c>
      <c r="AF73" t="s">
        <v>143</v>
      </c>
      <c r="AG73" t="b">
        <v>0</v>
      </c>
      <c r="AH73" t="b">
        <v>1</v>
      </c>
      <c r="AI73" t="b">
        <v>1</v>
      </c>
      <c r="AJ73" t="b">
        <v>0</v>
      </c>
      <c r="AK73" t="s">
        <v>237</v>
      </c>
      <c r="AL73" t="s">
        <v>239</v>
      </c>
      <c r="AR73" t="b">
        <v>0</v>
      </c>
      <c r="AS73">
        <v>7206</v>
      </c>
      <c r="CA73">
        <v>109.999</v>
      </c>
      <c r="EH73" s="3">
        <f t="shared" si="2"/>
        <v>1.0416666666666666E-2</v>
      </c>
    </row>
    <row r="74" spans="1:138" x14ac:dyDescent="0.25">
      <c r="A74" s="1">
        <v>3112</v>
      </c>
      <c r="B74" t="s">
        <v>237</v>
      </c>
      <c r="C74" t="s">
        <v>193</v>
      </c>
      <c r="G74">
        <v>357.0403</v>
      </c>
      <c r="H74">
        <v>13.087999999999999</v>
      </c>
      <c r="I74" t="s">
        <v>349</v>
      </c>
      <c r="K74" t="s">
        <v>239</v>
      </c>
      <c r="L74" t="s">
        <v>137</v>
      </c>
      <c r="M74">
        <v>22.867999999999999</v>
      </c>
      <c r="N74">
        <v>171.33</v>
      </c>
      <c r="O74">
        <v>-1</v>
      </c>
      <c r="P74">
        <v>2</v>
      </c>
      <c r="Q74">
        <v>41</v>
      </c>
      <c r="R74">
        <v>91.5</v>
      </c>
      <c r="T74" t="b">
        <v>0</v>
      </c>
      <c r="U74" t="s">
        <v>240</v>
      </c>
      <c r="V74">
        <v>357</v>
      </c>
      <c r="W74">
        <v>4.0300000000002001E-2</v>
      </c>
      <c r="X74">
        <v>357.063106049059</v>
      </c>
      <c r="Y74">
        <v>357</v>
      </c>
      <c r="Z74">
        <v>6.3106049059115293E-2</v>
      </c>
      <c r="AA74">
        <v>41</v>
      </c>
      <c r="AB74">
        <v>19</v>
      </c>
      <c r="AC74">
        <v>3</v>
      </c>
      <c r="AD74" t="b">
        <v>1</v>
      </c>
      <c r="AE74" t="s">
        <v>212</v>
      </c>
      <c r="AF74" t="s">
        <v>143</v>
      </c>
      <c r="AG74" t="b">
        <v>0</v>
      </c>
      <c r="AH74" t="b">
        <v>1</v>
      </c>
      <c r="AI74" t="b">
        <v>1</v>
      </c>
      <c r="AJ74" t="b">
        <v>0</v>
      </c>
      <c r="AK74" t="s">
        <v>237</v>
      </c>
      <c r="AL74" t="s">
        <v>239</v>
      </c>
      <c r="AR74" t="b">
        <v>0</v>
      </c>
      <c r="AS74">
        <v>3112</v>
      </c>
      <c r="AT74">
        <v>6.039085</v>
      </c>
      <c r="EH74" s="3">
        <f t="shared" si="2"/>
        <v>1.0416666666666666E-2</v>
      </c>
    </row>
    <row r="75" spans="1:138" x14ac:dyDescent="0.25">
      <c r="A75" s="1">
        <v>6641</v>
      </c>
      <c r="B75" t="s">
        <v>237</v>
      </c>
      <c r="C75" t="s">
        <v>264</v>
      </c>
      <c r="G75">
        <v>265.02620000000002</v>
      </c>
      <c r="H75">
        <v>13.151</v>
      </c>
      <c r="I75" t="s">
        <v>349</v>
      </c>
      <c r="K75" t="s">
        <v>239</v>
      </c>
      <c r="L75" t="s">
        <v>137</v>
      </c>
      <c r="M75">
        <v>18.591999999999999</v>
      </c>
      <c r="N75">
        <v>141.07</v>
      </c>
      <c r="O75">
        <v>-1</v>
      </c>
      <c r="P75">
        <v>1</v>
      </c>
      <c r="Q75">
        <v>11</v>
      </c>
      <c r="R75">
        <v>55.5</v>
      </c>
      <c r="T75" t="b">
        <v>0</v>
      </c>
      <c r="U75" t="s">
        <v>240</v>
      </c>
      <c r="V75">
        <v>265</v>
      </c>
      <c r="W75">
        <v>2.6200000000017099E-2</v>
      </c>
      <c r="X75">
        <v>265.04312862267699</v>
      </c>
      <c r="Y75">
        <v>265</v>
      </c>
      <c r="Z75">
        <v>4.3128622676931599E-2</v>
      </c>
      <c r="AA75">
        <v>43</v>
      </c>
      <c r="AB75">
        <v>26</v>
      </c>
      <c r="AC75">
        <v>3</v>
      </c>
      <c r="AD75" t="b">
        <v>1</v>
      </c>
      <c r="AE75" t="s">
        <v>142</v>
      </c>
      <c r="AF75" t="s">
        <v>165</v>
      </c>
      <c r="AG75" t="b">
        <v>0</v>
      </c>
      <c r="AH75" t="b">
        <v>1</v>
      </c>
      <c r="AI75" t="b">
        <v>1</v>
      </c>
      <c r="AJ75" t="b">
        <v>0</v>
      </c>
      <c r="AK75" t="s">
        <v>237</v>
      </c>
      <c r="AL75" t="s">
        <v>239</v>
      </c>
      <c r="AR75" t="b">
        <v>0</v>
      </c>
      <c r="AS75">
        <v>6641</v>
      </c>
      <c r="AZ75">
        <v>10.19167</v>
      </c>
      <c r="EH75" s="3">
        <f t="shared" si="2"/>
        <v>1.0416666666666666E-2</v>
      </c>
    </row>
    <row r="76" spans="1:138" x14ac:dyDescent="0.25">
      <c r="A76" s="1">
        <v>6222</v>
      </c>
      <c r="B76" t="s">
        <v>237</v>
      </c>
      <c r="C76" t="s">
        <v>198</v>
      </c>
      <c r="G76">
        <v>400.04880000000003</v>
      </c>
      <c r="H76">
        <v>13.247999999999999</v>
      </c>
      <c r="I76" t="s">
        <v>349</v>
      </c>
      <c r="K76" t="s">
        <v>239</v>
      </c>
      <c r="L76" t="s">
        <v>137</v>
      </c>
      <c r="M76">
        <v>22.25</v>
      </c>
      <c r="N76">
        <v>166.05</v>
      </c>
      <c r="O76">
        <v>-1</v>
      </c>
      <c r="P76">
        <v>1</v>
      </c>
      <c r="Q76">
        <v>28</v>
      </c>
      <c r="R76">
        <v>97.3</v>
      </c>
      <c r="T76" t="b">
        <v>0</v>
      </c>
      <c r="U76" t="s">
        <v>240</v>
      </c>
      <c r="V76">
        <v>400</v>
      </c>
      <c r="W76">
        <v>4.8800000000028397E-2</v>
      </c>
      <c r="X76">
        <v>400.07435322903001</v>
      </c>
      <c r="Y76">
        <v>400</v>
      </c>
      <c r="Z76">
        <v>7.4353229030009502E-2</v>
      </c>
      <c r="AA76">
        <v>40</v>
      </c>
      <c r="AB76">
        <v>20</v>
      </c>
      <c r="AC76">
        <v>3</v>
      </c>
      <c r="AD76" t="b">
        <v>1</v>
      </c>
      <c r="AE76" t="s">
        <v>212</v>
      </c>
      <c r="AF76" t="s">
        <v>143</v>
      </c>
      <c r="AG76" t="b">
        <v>0</v>
      </c>
      <c r="AH76" t="b">
        <v>1</v>
      </c>
      <c r="AI76" t="b">
        <v>1</v>
      </c>
      <c r="AJ76" t="b">
        <v>0</v>
      </c>
      <c r="AK76" t="s">
        <v>237</v>
      </c>
      <c r="AL76" t="s">
        <v>239</v>
      </c>
      <c r="AR76" t="b">
        <v>0</v>
      </c>
      <c r="AS76">
        <v>6222</v>
      </c>
      <c r="DD76">
        <v>4.7938739999999997</v>
      </c>
      <c r="EH76" s="3">
        <f t="shared" si="2"/>
        <v>1.0416666666666666E-2</v>
      </c>
    </row>
    <row r="77" spans="1:138" x14ac:dyDescent="0.25">
      <c r="A77" s="1">
        <v>7199</v>
      </c>
      <c r="B77" t="s">
        <v>237</v>
      </c>
      <c r="C77" t="s">
        <v>193</v>
      </c>
      <c r="G77">
        <v>357.03919999999999</v>
      </c>
      <c r="H77">
        <v>13.565</v>
      </c>
      <c r="I77" t="s">
        <v>349</v>
      </c>
      <c r="K77" t="s">
        <v>239</v>
      </c>
      <c r="L77" t="s">
        <v>137</v>
      </c>
      <c r="M77">
        <v>22.933</v>
      </c>
      <c r="N77">
        <v>171.83</v>
      </c>
      <c r="O77">
        <v>-1</v>
      </c>
      <c r="P77">
        <v>1</v>
      </c>
      <c r="Q77">
        <v>18</v>
      </c>
      <c r="R77">
        <v>99.5</v>
      </c>
      <c r="T77" t="b">
        <v>0</v>
      </c>
      <c r="U77" t="s">
        <v>240</v>
      </c>
      <c r="V77">
        <v>357</v>
      </c>
      <c r="W77">
        <v>3.9199999999993899E-2</v>
      </c>
      <c r="X77">
        <v>357.06200597879598</v>
      </c>
      <c r="Y77">
        <v>357</v>
      </c>
      <c r="Z77">
        <v>6.2005978796264599E-2</v>
      </c>
      <c r="AA77">
        <v>40</v>
      </c>
      <c r="AB77">
        <v>19</v>
      </c>
      <c r="AC77">
        <v>3</v>
      </c>
      <c r="AD77" t="b">
        <v>1</v>
      </c>
      <c r="AE77" t="s">
        <v>212</v>
      </c>
      <c r="AF77" t="s">
        <v>143</v>
      </c>
      <c r="AG77" t="b">
        <v>0</v>
      </c>
      <c r="AH77" t="b">
        <v>1</v>
      </c>
      <c r="AI77" t="b">
        <v>1</v>
      </c>
      <c r="AJ77" t="b">
        <v>0</v>
      </c>
      <c r="AK77" t="s">
        <v>237</v>
      </c>
      <c r="AL77" t="s">
        <v>239</v>
      </c>
      <c r="AR77" t="b">
        <v>0</v>
      </c>
      <c r="AS77">
        <v>7199</v>
      </c>
      <c r="DQ77">
        <v>41.557659999999998</v>
      </c>
      <c r="EH77" s="3">
        <f t="shared" si="2"/>
        <v>1.0416666666666666E-2</v>
      </c>
    </row>
    <row r="78" spans="1:138" x14ac:dyDescent="0.25">
      <c r="A78" s="1">
        <v>4538</v>
      </c>
      <c r="B78" t="s">
        <v>237</v>
      </c>
      <c r="C78" t="s">
        <v>226</v>
      </c>
      <c r="G78">
        <v>329.04989999999998</v>
      </c>
      <c r="H78">
        <v>13.625</v>
      </c>
      <c r="I78" t="s">
        <v>349</v>
      </c>
      <c r="K78" t="s">
        <v>239</v>
      </c>
      <c r="L78" t="s">
        <v>137</v>
      </c>
      <c r="M78">
        <v>21.363</v>
      </c>
      <c r="N78">
        <v>160.61000000000001</v>
      </c>
      <c r="O78">
        <v>-1</v>
      </c>
      <c r="P78">
        <v>2</v>
      </c>
      <c r="Q78">
        <v>17</v>
      </c>
      <c r="R78">
        <v>71.2</v>
      </c>
      <c r="T78" t="b">
        <v>0</v>
      </c>
      <c r="U78" t="s">
        <v>240</v>
      </c>
      <c r="V78">
        <v>329</v>
      </c>
      <c r="W78">
        <v>4.98999999999796E-2</v>
      </c>
      <c r="X78">
        <v>329.070918154428</v>
      </c>
      <c r="Y78">
        <v>329</v>
      </c>
      <c r="Z78">
        <v>7.0918154427602104E-2</v>
      </c>
      <c r="AA78">
        <v>45</v>
      </c>
      <c r="AB78">
        <v>15</v>
      </c>
      <c r="AC78">
        <v>3</v>
      </c>
      <c r="AD78" t="b">
        <v>1</v>
      </c>
      <c r="AE78" t="s">
        <v>142</v>
      </c>
      <c r="AF78" t="s">
        <v>143</v>
      </c>
      <c r="AG78" t="b">
        <v>0</v>
      </c>
      <c r="AH78" t="b">
        <v>1</v>
      </c>
      <c r="AI78" t="b">
        <v>1</v>
      </c>
      <c r="AJ78" t="b">
        <v>0</v>
      </c>
      <c r="AK78" t="s">
        <v>237</v>
      </c>
      <c r="AL78" t="s">
        <v>239</v>
      </c>
      <c r="AR78" t="b">
        <v>0</v>
      </c>
      <c r="AS78">
        <v>4538</v>
      </c>
      <c r="CJ78">
        <v>147.999</v>
      </c>
      <c r="EH78" s="3">
        <f t="shared" si="2"/>
        <v>1.0416666666666666E-2</v>
      </c>
    </row>
    <row r="79" spans="1:138" x14ac:dyDescent="0.25">
      <c r="A79" s="1">
        <v>5676</v>
      </c>
      <c r="B79" t="s">
        <v>237</v>
      </c>
      <c r="C79" t="s">
        <v>226</v>
      </c>
      <c r="G79">
        <v>302.04849999999999</v>
      </c>
      <c r="H79">
        <v>13.877000000000001</v>
      </c>
      <c r="I79" t="s">
        <v>349</v>
      </c>
      <c r="K79" t="s">
        <v>239</v>
      </c>
      <c r="L79" t="s">
        <v>137</v>
      </c>
      <c r="M79">
        <v>21.579000000000001</v>
      </c>
      <c r="N79">
        <v>162.75</v>
      </c>
      <c r="O79">
        <v>-1</v>
      </c>
      <c r="P79">
        <v>1</v>
      </c>
      <c r="Q79">
        <v>29</v>
      </c>
      <c r="R79">
        <v>96.8</v>
      </c>
      <c r="T79" t="b">
        <v>0</v>
      </c>
      <c r="U79" t="s">
        <v>240</v>
      </c>
      <c r="V79">
        <v>302</v>
      </c>
      <c r="W79">
        <v>4.8499999999990002E-2</v>
      </c>
      <c r="X79">
        <v>302.06779343244801</v>
      </c>
      <c r="Y79">
        <v>302</v>
      </c>
      <c r="Z79">
        <v>6.7793432447899704E-2</v>
      </c>
      <c r="AA79">
        <v>43</v>
      </c>
      <c r="AB79">
        <v>15</v>
      </c>
      <c r="AC79">
        <v>3</v>
      </c>
      <c r="AD79" t="b">
        <v>1</v>
      </c>
      <c r="AE79" t="s">
        <v>212</v>
      </c>
      <c r="AF79" t="s">
        <v>143</v>
      </c>
      <c r="AG79" t="b">
        <v>0</v>
      </c>
      <c r="AH79" t="b">
        <v>1</v>
      </c>
      <c r="AI79" t="b">
        <v>1</v>
      </c>
      <c r="AJ79" t="b">
        <v>0</v>
      </c>
      <c r="AK79" t="s">
        <v>237</v>
      </c>
      <c r="AL79" t="s">
        <v>239</v>
      </c>
      <c r="AR79" t="b">
        <v>0</v>
      </c>
      <c r="AS79">
        <v>5676</v>
      </c>
      <c r="BQ79">
        <v>21.443560000000002</v>
      </c>
      <c r="EH79" s="3">
        <f t="shared" si="2"/>
        <v>1.0416666666666666E-2</v>
      </c>
    </row>
    <row r="80" spans="1:138" x14ac:dyDescent="0.25">
      <c r="A80" s="1">
        <v>8157</v>
      </c>
      <c r="B80" t="s">
        <v>237</v>
      </c>
      <c r="C80" t="s">
        <v>310</v>
      </c>
      <c r="G80">
        <v>191.01859999999999</v>
      </c>
      <c r="H80">
        <v>13.957000000000001</v>
      </c>
      <c r="I80" t="s">
        <v>349</v>
      </c>
      <c r="K80" t="s">
        <v>239</v>
      </c>
      <c r="L80" t="s">
        <v>137</v>
      </c>
      <c r="M80">
        <v>16.5</v>
      </c>
      <c r="N80">
        <v>127.49</v>
      </c>
      <c r="O80">
        <v>-1</v>
      </c>
      <c r="P80">
        <v>1</v>
      </c>
      <c r="Q80">
        <v>16</v>
      </c>
      <c r="R80">
        <v>89.1</v>
      </c>
      <c r="T80" t="b">
        <v>0</v>
      </c>
      <c r="U80" t="s">
        <v>240</v>
      </c>
      <c r="V80">
        <v>191</v>
      </c>
      <c r="W80">
        <v>1.8599999999992199E-2</v>
      </c>
      <c r="X80">
        <v>191.03080136652</v>
      </c>
      <c r="Y80">
        <v>191</v>
      </c>
      <c r="Z80">
        <v>3.0801366520250902E-2</v>
      </c>
      <c r="AA80">
        <v>40</v>
      </c>
      <c r="AB80">
        <v>27</v>
      </c>
      <c r="AC80">
        <v>3</v>
      </c>
      <c r="AD80" t="b">
        <v>1</v>
      </c>
      <c r="AE80" t="s">
        <v>142</v>
      </c>
      <c r="AF80" t="s">
        <v>165</v>
      </c>
      <c r="AG80" t="b">
        <v>0</v>
      </c>
      <c r="AH80" t="b">
        <v>1</v>
      </c>
      <c r="AI80" t="b">
        <v>1</v>
      </c>
      <c r="AJ80" t="b">
        <v>0</v>
      </c>
      <c r="AK80" t="s">
        <v>237</v>
      </c>
      <c r="AL80" t="s">
        <v>239</v>
      </c>
      <c r="AR80" t="b">
        <v>0</v>
      </c>
      <c r="AS80">
        <v>8157</v>
      </c>
      <c r="BG80">
        <v>9.2031740000000006</v>
      </c>
      <c r="EH80" s="3">
        <f t="shared" si="2"/>
        <v>1.0416666666666666E-2</v>
      </c>
    </row>
    <row r="81" spans="1:138" x14ac:dyDescent="0.25">
      <c r="A81" s="1">
        <v>2170</v>
      </c>
      <c r="B81" t="s">
        <v>237</v>
      </c>
      <c r="C81" t="s">
        <v>312</v>
      </c>
      <c r="G81">
        <v>231.05189999999999</v>
      </c>
      <c r="H81">
        <v>13.993</v>
      </c>
      <c r="I81" t="s">
        <v>349</v>
      </c>
      <c r="K81" t="s">
        <v>239</v>
      </c>
      <c r="L81" t="s">
        <v>137</v>
      </c>
      <c r="M81">
        <v>18.385999999999999</v>
      </c>
      <c r="N81">
        <v>140.47999999999999</v>
      </c>
      <c r="O81">
        <v>-1</v>
      </c>
      <c r="P81">
        <v>2</v>
      </c>
      <c r="Q81">
        <v>17</v>
      </c>
      <c r="R81">
        <v>60.5</v>
      </c>
      <c r="T81" t="b">
        <v>0</v>
      </c>
      <c r="U81" t="s">
        <v>240</v>
      </c>
      <c r="V81">
        <v>231</v>
      </c>
      <c r="W81">
        <v>5.1899999999989198E-2</v>
      </c>
      <c r="X81">
        <v>231.066658504759</v>
      </c>
      <c r="Y81">
        <v>231</v>
      </c>
      <c r="Z81">
        <v>6.6658504758692103E-2</v>
      </c>
      <c r="AA81">
        <v>45</v>
      </c>
      <c r="AB81">
        <v>31</v>
      </c>
      <c r="AC81">
        <v>3</v>
      </c>
      <c r="AD81" t="b">
        <v>1</v>
      </c>
      <c r="AE81" t="s">
        <v>212</v>
      </c>
      <c r="AF81" t="s">
        <v>143</v>
      </c>
      <c r="AG81" t="b">
        <v>0</v>
      </c>
      <c r="AH81" t="b">
        <v>1</v>
      </c>
      <c r="AI81" t="b">
        <v>1</v>
      </c>
      <c r="AJ81" t="b">
        <v>0</v>
      </c>
      <c r="AK81" t="s">
        <v>237</v>
      </c>
      <c r="AL81" t="s">
        <v>239</v>
      </c>
      <c r="AR81" t="b">
        <v>0</v>
      </c>
      <c r="AS81">
        <v>2170</v>
      </c>
      <c r="CW81">
        <v>646.99900000000002</v>
      </c>
      <c r="EH81" s="3">
        <f t="shared" si="2"/>
        <v>1.0416666666666666E-2</v>
      </c>
    </row>
    <row r="82" spans="1:138" x14ac:dyDescent="0.25">
      <c r="A82" s="1">
        <v>384</v>
      </c>
      <c r="B82" t="s">
        <v>237</v>
      </c>
      <c r="C82" t="s">
        <v>193</v>
      </c>
      <c r="G82">
        <v>307.04259999999999</v>
      </c>
      <c r="H82">
        <v>14.063000000000001</v>
      </c>
      <c r="I82" t="s">
        <v>349</v>
      </c>
      <c r="K82" t="s">
        <v>239</v>
      </c>
      <c r="L82" t="s">
        <v>137</v>
      </c>
      <c r="M82">
        <v>20.6</v>
      </c>
      <c r="N82">
        <v>155.29</v>
      </c>
      <c r="O82">
        <v>-1</v>
      </c>
      <c r="P82">
        <v>3</v>
      </c>
      <c r="Q82">
        <v>36</v>
      </c>
      <c r="R82">
        <v>77.599999999999994</v>
      </c>
      <c r="T82" t="b">
        <v>0</v>
      </c>
      <c r="U82" t="s">
        <v>240</v>
      </c>
      <c r="V82">
        <v>307</v>
      </c>
      <c r="W82">
        <v>4.2599999999993102E-2</v>
      </c>
      <c r="X82">
        <v>307.06221243198303</v>
      </c>
      <c r="Y82">
        <v>307</v>
      </c>
      <c r="Z82">
        <v>6.2212431982686701E-2</v>
      </c>
      <c r="AA82">
        <v>40</v>
      </c>
      <c r="AB82">
        <v>19</v>
      </c>
      <c r="AC82">
        <v>3</v>
      </c>
      <c r="AD82" t="b">
        <v>1</v>
      </c>
      <c r="AE82" t="s">
        <v>212</v>
      </c>
      <c r="AF82" t="s">
        <v>143</v>
      </c>
      <c r="AG82" t="b">
        <v>0</v>
      </c>
      <c r="AH82" t="b">
        <v>1</v>
      </c>
      <c r="AI82" t="b">
        <v>1</v>
      </c>
      <c r="AJ82" t="b">
        <v>0</v>
      </c>
      <c r="AK82" t="s">
        <v>237</v>
      </c>
      <c r="AL82" t="s">
        <v>239</v>
      </c>
      <c r="AR82" t="b">
        <v>0</v>
      </c>
      <c r="AS82">
        <v>384</v>
      </c>
      <c r="DQ82">
        <v>1482.7360000000001</v>
      </c>
      <c r="EH82" s="3">
        <f t="shared" si="2"/>
        <v>1.0416666666666666E-2</v>
      </c>
    </row>
    <row r="83" spans="1:138" x14ac:dyDescent="0.25">
      <c r="A83" s="1">
        <v>3450</v>
      </c>
      <c r="B83" t="s">
        <v>237</v>
      </c>
      <c r="C83" t="s">
        <v>312</v>
      </c>
      <c r="G83">
        <v>331.04379999999998</v>
      </c>
      <c r="H83">
        <v>14.12</v>
      </c>
      <c r="I83" t="s">
        <v>349</v>
      </c>
      <c r="K83" t="s">
        <v>239</v>
      </c>
      <c r="L83" t="s">
        <v>137</v>
      </c>
      <c r="M83">
        <v>21.344000000000001</v>
      </c>
      <c r="N83">
        <v>160.44999999999999</v>
      </c>
      <c r="O83">
        <v>-1</v>
      </c>
      <c r="P83">
        <v>1</v>
      </c>
      <c r="Q83">
        <v>12</v>
      </c>
      <c r="R83">
        <v>84.1</v>
      </c>
      <c r="T83" t="b">
        <v>0</v>
      </c>
      <c r="U83" t="s">
        <v>240</v>
      </c>
      <c r="V83">
        <v>331</v>
      </c>
      <c r="W83">
        <v>4.3799999999976101E-2</v>
      </c>
      <c r="X83">
        <v>331.06494551534797</v>
      </c>
      <c r="Y83">
        <v>331</v>
      </c>
      <c r="Z83">
        <v>6.4945515347972105E-2</v>
      </c>
      <c r="AA83">
        <v>45</v>
      </c>
      <c r="AB83">
        <v>31</v>
      </c>
      <c r="AC83">
        <v>3</v>
      </c>
      <c r="AD83" t="b">
        <v>1</v>
      </c>
      <c r="AE83" t="s">
        <v>142</v>
      </c>
      <c r="AF83" t="s">
        <v>143</v>
      </c>
      <c r="AG83" t="b">
        <v>0</v>
      </c>
      <c r="AH83" t="b">
        <v>1</v>
      </c>
      <c r="AI83" t="b">
        <v>1</v>
      </c>
      <c r="AJ83" t="b">
        <v>0</v>
      </c>
      <c r="AK83" t="s">
        <v>237</v>
      </c>
      <c r="AL83" t="s">
        <v>239</v>
      </c>
      <c r="AR83" t="b">
        <v>0</v>
      </c>
      <c r="AS83">
        <v>3450</v>
      </c>
      <c r="CW83">
        <v>444.99900000000002</v>
      </c>
      <c r="EH83" s="3">
        <f t="shared" si="2"/>
        <v>1.0416666666666666E-2</v>
      </c>
    </row>
    <row r="84" spans="1:138" x14ac:dyDescent="0.25">
      <c r="A84" s="1">
        <v>1116</v>
      </c>
      <c r="B84" t="s">
        <v>284</v>
      </c>
      <c r="C84" t="s">
        <v>310</v>
      </c>
      <c r="G84">
        <v>307.04329999999999</v>
      </c>
      <c r="H84">
        <v>14.23</v>
      </c>
      <c r="I84" t="s">
        <v>349</v>
      </c>
      <c r="K84" t="s">
        <v>286</v>
      </c>
      <c r="L84" t="s">
        <v>137</v>
      </c>
      <c r="M84">
        <v>20.603000000000002</v>
      </c>
      <c r="N84">
        <v>155.29</v>
      </c>
      <c r="O84">
        <v>-1</v>
      </c>
      <c r="P84">
        <v>3</v>
      </c>
      <c r="Q84">
        <v>16</v>
      </c>
      <c r="R84">
        <v>65</v>
      </c>
      <c r="T84" t="b">
        <v>0</v>
      </c>
      <c r="U84" t="s">
        <v>240</v>
      </c>
      <c r="V84">
        <v>307</v>
      </c>
      <c r="W84">
        <v>4.3299999999987897E-2</v>
      </c>
      <c r="X84">
        <v>307.06291247669498</v>
      </c>
      <c r="Y84">
        <v>307</v>
      </c>
      <c r="Z84">
        <v>6.2912476695373698E-2</v>
      </c>
      <c r="AA84">
        <v>37</v>
      </c>
      <c r="AB84">
        <v>27</v>
      </c>
      <c r="AC84">
        <v>3</v>
      </c>
      <c r="AD84" t="b">
        <v>1</v>
      </c>
      <c r="AE84" t="s">
        <v>212</v>
      </c>
      <c r="AF84" t="s">
        <v>143</v>
      </c>
      <c r="AG84" t="b">
        <v>0</v>
      </c>
      <c r="AH84" t="b">
        <v>1</v>
      </c>
      <c r="AI84" t="b">
        <v>1</v>
      </c>
      <c r="AJ84" t="b">
        <v>0</v>
      </c>
      <c r="AK84" t="s">
        <v>284</v>
      </c>
      <c r="AL84" t="s">
        <v>286</v>
      </c>
      <c r="AR84" t="b">
        <v>0</v>
      </c>
      <c r="AS84">
        <v>1116</v>
      </c>
      <c r="BK84">
        <v>155.51560000000001</v>
      </c>
      <c r="EH84" s="3">
        <f t="shared" si="2"/>
        <v>1.0416666666666666E-2</v>
      </c>
    </row>
    <row r="85" spans="1:138" x14ac:dyDescent="0.25">
      <c r="A85" s="1">
        <v>2526</v>
      </c>
      <c r="B85" t="s">
        <v>237</v>
      </c>
      <c r="C85" t="s">
        <v>314</v>
      </c>
      <c r="G85">
        <v>350.05200000000002</v>
      </c>
      <c r="H85">
        <v>14.3</v>
      </c>
      <c r="I85" t="s">
        <v>349</v>
      </c>
      <c r="K85" t="s">
        <v>239</v>
      </c>
      <c r="L85" t="s">
        <v>137</v>
      </c>
      <c r="M85">
        <v>22.111999999999998</v>
      </c>
      <c r="N85">
        <v>165.83</v>
      </c>
      <c r="O85">
        <v>-1</v>
      </c>
      <c r="P85">
        <v>2</v>
      </c>
      <c r="Q85">
        <v>17</v>
      </c>
      <c r="R85">
        <v>60.7</v>
      </c>
      <c r="T85" t="b">
        <v>0</v>
      </c>
      <c r="U85" t="s">
        <v>240</v>
      </c>
      <c r="V85">
        <v>350</v>
      </c>
      <c r="W85">
        <v>5.2000000000020898E-2</v>
      </c>
      <c r="X85">
        <v>350.07435966944098</v>
      </c>
      <c r="Y85">
        <v>350</v>
      </c>
      <c r="Z85">
        <v>7.4359669441321302E-2</v>
      </c>
      <c r="AA85">
        <v>42</v>
      </c>
      <c r="AB85">
        <v>35</v>
      </c>
      <c r="AC85">
        <v>3</v>
      </c>
      <c r="AD85" t="b">
        <v>1</v>
      </c>
      <c r="AE85" t="s">
        <v>212</v>
      </c>
      <c r="AF85" t="s">
        <v>143</v>
      </c>
      <c r="AG85" t="b">
        <v>0</v>
      </c>
      <c r="AH85" t="b">
        <v>1</v>
      </c>
      <c r="AI85" t="b">
        <v>1</v>
      </c>
      <c r="AJ85" t="b">
        <v>0</v>
      </c>
      <c r="AK85" t="s">
        <v>237</v>
      </c>
      <c r="AL85" t="s">
        <v>239</v>
      </c>
      <c r="AR85" t="b">
        <v>0</v>
      </c>
      <c r="AS85">
        <v>2526</v>
      </c>
      <c r="EE85">
        <v>32.409039999999997</v>
      </c>
      <c r="EH85" s="3">
        <f t="shared" si="2"/>
        <v>1.0416666666666666E-2</v>
      </c>
    </row>
    <row r="86" spans="1:138" x14ac:dyDescent="0.25">
      <c r="A86" s="1">
        <v>8819</v>
      </c>
      <c r="B86" t="s">
        <v>237</v>
      </c>
      <c r="C86" t="s">
        <v>166</v>
      </c>
      <c r="G86">
        <v>401.0471</v>
      </c>
      <c r="H86">
        <v>14.321999999999999</v>
      </c>
      <c r="I86" t="s">
        <v>349</v>
      </c>
      <c r="K86" t="s">
        <v>239</v>
      </c>
      <c r="L86" t="s">
        <v>137</v>
      </c>
      <c r="M86">
        <v>22.184000000000001</v>
      </c>
      <c r="N86">
        <v>165.59</v>
      </c>
      <c r="O86">
        <v>-1</v>
      </c>
      <c r="P86">
        <v>1</v>
      </c>
      <c r="Q86">
        <v>11</v>
      </c>
      <c r="R86">
        <v>97.9</v>
      </c>
      <c r="T86" t="b">
        <v>0</v>
      </c>
      <c r="U86" t="s">
        <v>240</v>
      </c>
      <c r="V86">
        <v>401</v>
      </c>
      <c r="W86">
        <v>4.7100000000000398E-2</v>
      </c>
      <c r="X86">
        <v>401.07271699572198</v>
      </c>
      <c r="Y86">
        <v>401</v>
      </c>
      <c r="Z86">
        <v>7.2716995721805205E-2</v>
      </c>
      <c r="AA86">
        <v>36</v>
      </c>
      <c r="AB86">
        <v>14</v>
      </c>
      <c r="AC86">
        <v>3</v>
      </c>
      <c r="AD86" t="b">
        <v>1</v>
      </c>
      <c r="AE86" t="s">
        <v>142</v>
      </c>
      <c r="AF86" t="s">
        <v>143</v>
      </c>
      <c r="AG86" t="b">
        <v>0</v>
      </c>
      <c r="AH86" t="b">
        <v>1</v>
      </c>
      <c r="AI86" t="b">
        <v>1</v>
      </c>
      <c r="AJ86" t="b">
        <v>0</v>
      </c>
      <c r="AK86" t="s">
        <v>237</v>
      </c>
      <c r="AL86" t="s">
        <v>239</v>
      </c>
      <c r="AR86" t="b">
        <v>0</v>
      </c>
      <c r="AS86">
        <v>8819</v>
      </c>
      <c r="DC86">
        <v>9.8993269999999995</v>
      </c>
      <c r="EH86" s="3">
        <f t="shared" si="2"/>
        <v>1.0416666666666666E-2</v>
      </c>
    </row>
    <row r="87" spans="1:138" x14ac:dyDescent="0.25">
      <c r="A87" s="1">
        <v>3021</v>
      </c>
      <c r="B87" t="s">
        <v>237</v>
      </c>
      <c r="C87" t="s">
        <v>248</v>
      </c>
      <c r="G87">
        <v>331.04539999999997</v>
      </c>
      <c r="H87">
        <v>14.375999999999999</v>
      </c>
      <c r="I87" t="s">
        <v>349</v>
      </c>
      <c r="K87" t="s">
        <v>239</v>
      </c>
      <c r="L87" t="s">
        <v>137</v>
      </c>
      <c r="M87">
        <v>21.379000000000001</v>
      </c>
      <c r="N87">
        <v>160.71</v>
      </c>
      <c r="O87">
        <v>-1</v>
      </c>
      <c r="P87">
        <v>3</v>
      </c>
      <c r="Q87">
        <v>15</v>
      </c>
      <c r="R87">
        <v>63.4</v>
      </c>
      <c r="T87" t="b">
        <v>0</v>
      </c>
      <c r="U87" t="s">
        <v>240</v>
      </c>
      <c r="V87">
        <v>331</v>
      </c>
      <c r="W87">
        <v>4.53999999999724E-2</v>
      </c>
      <c r="X87">
        <v>331.066545617548</v>
      </c>
      <c r="Y87">
        <v>331</v>
      </c>
      <c r="Z87">
        <v>6.6545617548399605E-2</v>
      </c>
      <c r="AA87">
        <v>43</v>
      </c>
      <c r="AB87">
        <v>16</v>
      </c>
      <c r="AC87">
        <v>3</v>
      </c>
      <c r="AD87" t="b">
        <v>1</v>
      </c>
      <c r="AE87" t="s">
        <v>142</v>
      </c>
      <c r="AF87" t="s">
        <v>143</v>
      </c>
      <c r="AG87" t="b">
        <v>0</v>
      </c>
      <c r="AH87" t="b">
        <v>1</v>
      </c>
      <c r="AI87" t="b">
        <v>1</v>
      </c>
      <c r="AJ87" t="b">
        <v>0</v>
      </c>
      <c r="AK87" t="s">
        <v>237</v>
      </c>
      <c r="AL87" t="s">
        <v>239</v>
      </c>
      <c r="AR87" t="b">
        <v>0</v>
      </c>
      <c r="AS87">
        <v>3021</v>
      </c>
      <c r="BQ87">
        <v>19.863489999999999</v>
      </c>
      <c r="EH87" s="3">
        <f t="shared" si="2"/>
        <v>1.0416666666666666E-2</v>
      </c>
    </row>
    <row r="88" spans="1:138" x14ac:dyDescent="0.25">
      <c r="A88" s="1">
        <v>2992</v>
      </c>
      <c r="B88" t="s">
        <v>237</v>
      </c>
      <c r="C88" t="s">
        <v>315</v>
      </c>
      <c r="G88">
        <v>350.05110000000002</v>
      </c>
      <c r="H88">
        <v>14.823</v>
      </c>
      <c r="I88" t="s">
        <v>349</v>
      </c>
      <c r="K88" t="s">
        <v>239</v>
      </c>
      <c r="L88" t="s">
        <v>137</v>
      </c>
      <c r="M88">
        <v>22.123999999999999</v>
      </c>
      <c r="N88">
        <v>165.92</v>
      </c>
      <c r="O88">
        <v>-1</v>
      </c>
      <c r="P88">
        <v>2</v>
      </c>
      <c r="Q88">
        <v>23</v>
      </c>
      <c r="R88">
        <v>52.2</v>
      </c>
      <c r="T88" t="b">
        <v>0</v>
      </c>
      <c r="U88" t="s">
        <v>240</v>
      </c>
      <c r="V88">
        <v>350</v>
      </c>
      <c r="W88">
        <v>5.1100000000019498E-2</v>
      </c>
      <c r="X88">
        <v>350.07345961195398</v>
      </c>
      <c r="Y88">
        <v>350</v>
      </c>
      <c r="Z88">
        <v>7.3459611953580903E-2</v>
      </c>
      <c r="AA88">
        <v>46</v>
      </c>
      <c r="AB88">
        <v>42</v>
      </c>
      <c r="AC88">
        <v>3</v>
      </c>
      <c r="AD88" t="b">
        <v>1</v>
      </c>
      <c r="AE88" t="s">
        <v>212</v>
      </c>
      <c r="AF88" t="s">
        <v>143</v>
      </c>
      <c r="AG88" t="b">
        <v>0</v>
      </c>
      <c r="AH88" t="b">
        <v>1</v>
      </c>
      <c r="AI88" t="b">
        <v>1</v>
      </c>
      <c r="AJ88" t="b">
        <v>0</v>
      </c>
      <c r="AK88" t="s">
        <v>237</v>
      </c>
      <c r="AL88" t="s">
        <v>239</v>
      </c>
      <c r="AR88" t="b">
        <v>0</v>
      </c>
      <c r="AS88">
        <v>2992</v>
      </c>
      <c r="DG88">
        <v>60.870359999999998</v>
      </c>
      <c r="EH88" s="3">
        <f t="shared" si="2"/>
        <v>1.0416666666666666E-2</v>
      </c>
    </row>
    <row r="89" spans="1:138" x14ac:dyDescent="0.25">
      <c r="A89" s="1">
        <v>2919</v>
      </c>
      <c r="B89" t="s">
        <v>237</v>
      </c>
      <c r="C89" t="s">
        <v>264</v>
      </c>
      <c r="G89">
        <v>289.03109999999998</v>
      </c>
      <c r="H89">
        <v>14.976000000000001</v>
      </c>
      <c r="I89" t="s">
        <v>349</v>
      </c>
      <c r="K89" t="s">
        <v>239</v>
      </c>
      <c r="L89" t="s">
        <v>137</v>
      </c>
      <c r="M89">
        <v>20.608000000000001</v>
      </c>
      <c r="N89">
        <v>155.76</v>
      </c>
      <c r="O89">
        <v>-1</v>
      </c>
      <c r="P89">
        <v>1</v>
      </c>
      <c r="Q89">
        <v>12</v>
      </c>
      <c r="R89">
        <v>46</v>
      </c>
      <c r="T89" t="b">
        <v>0</v>
      </c>
      <c r="U89" t="s">
        <v>240</v>
      </c>
      <c r="V89">
        <v>289</v>
      </c>
      <c r="W89">
        <v>3.1099999999980799E-2</v>
      </c>
      <c r="X89">
        <v>289.04956194238099</v>
      </c>
      <c r="Y89">
        <v>289</v>
      </c>
      <c r="Z89">
        <v>4.9561942380705701E-2</v>
      </c>
      <c r="AA89">
        <v>43</v>
      </c>
      <c r="AB89">
        <v>26</v>
      </c>
      <c r="AC89">
        <v>3</v>
      </c>
      <c r="AD89" t="b">
        <v>1</v>
      </c>
      <c r="AE89" t="s">
        <v>212</v>
      </c>
      <c r="AF89" t="s">
        <v>165</v>
      </c>
      <c r="AG89" t="b">
        <v>0</v>
      </c>
      <c r="AH89" t="b">
        <v>1</v>
      </c>
      <c r="AI89" t="b">
        <v>1</v>
      </c>
      <c r="AJ89" t="b">
        <v>0</v>
      </c>
      <c r="AK89" t="s">
        <v>237</v>
      </c>
      <c r="AL89" t="s">
        <v>239</v>
      </c>
      <c r="AR89" t="b">
        <v>0</v>
      </c>
      <c r="AS89">
        <v>2919</v>
      </c>
      <c r="DG89">
        <v>663.81150000000002</v>
      </c>
      <c r="EH89" s="3">
        <f t="shared" si="2"/>
        <v>1.0416666666666666E-2</v>
      </c>
    </row>
    <row r="90" spans="1:138" x14ac:dyDescent="0.25">
      <c r="A90" s="1">
        <v>451</v>
      </c>
      <c r="B90" t="s">
        <v>237</v>
      </c>
      <c r="C90" t="s">
        <v>307</v>
      </c>
      <c r="G90">
        <v>305.0489</v>
      </c>
      <c r="H90">
        <v>14.989000000000001</v>
      </c>
      <c r="I90" t="s">
        <v>349</v>
      </c>
      <c r="K90" t="s">
        <v>239</v>
      </c>
      <c r="L90" t="s">
        <v>137</v>
      </c>
      <c r="M90">
        <v>20.59</v>
      </c>
      <c r="N90">
        <v>155.26</v>
      </c>
      <c r="O90">
        <v>-1</v>
      </c>
      <c r="P90">
        <v>1</v>
      </c>
      <c r="Q90">
        <v>26</v>
      </c>
      <c r="R90">
        <v>56.4</v>
      </c>
      <c r="T90" t="b">
        <v>0</v>
      </c>
      <c r="U90" t="s">
        <v>240</v>
      </c>
      <c r="V90">
        <v>305</v>
      </c>
      <c r="W90">
        <v>4.8900000000003302E-2</v>
      </c>
      <c r="X90">
        <v>305.06838508383697</v>
      </c>
      <c r="Y90">
        <v>305</v>
      </c>
      <c r="Z90">
        <v>6.8385083837370103E-2</v>
      </c>
      <c r="AA90">
        <v>43</v>
      </c>
      <c r="AB90">
        <v>24</v>
      </c>
      <c r="AC90">
        <v>3</v>
      </c>
      <c r="AD90" t="b">
        <v>1</v>
      </c>
      <c r="AE90" t="s">
        <v>212</v>
      </c>
      <c r="AF90" t="s">
        <v>143</v>
      </c>
      <c r="AG90" t="b">
        <v>0</v>
      </c>
      <c r="AH90" t="b">
        <v>1</v>
      </c>
      <c r="AI90" t="b">
        <v>1</v>
      </c>
      <c r="AJ90" t="b">
        <v>0</v>
      </c>
      <c r="AK90" t="s">
        <v>237</v>
      </c>
      <c r="AL90" t="s">
        <v>239</v>
      </c>
      <c r="AR90" t="b">
        <v>0</v>
      </c>
      <c r="AS90">
        <v>451</v>
      </c>
      <c r="CA90">
        <v>836.13040000000001</v>
      </c>
      <c r="EH90" s="3">
        <f t="shared" si="2"/>
        <v>1.0416666666666666E-2</v>
      </c>
    </row>
    <row r="91" spans="1:138" x14ac:dyDescent="0.25">
      <c r="A91" s="1">
        <v>2302</v>
      </c>
      <c r="B91" t="s">
        <v>237</v>
      </c>
      <c r="C91" t="s">
        <v>312</v>
      </c>
      <c r="G91">
        <v>277.05</v>
      </c>
      <c r="H91">
        <v>15.205</v>
      </c>
      <c r="I91" t="s">
        <v>349</v>
      </c>
      <c r="K91" t="s">
        <v>239</v>
      </c>
      <c r="L91" t="s">
        <v>137</v>
      </c>
      <c r="M91">
        <v>19.934000000000001</v>
      </c>
      <c r="N91">
        <v>150.94</v>
      </c>
      <c r="O91">
        <v>-1</v>
      </c>
      <c r="P91">
        <v>2</v>
      </c>
      <c r="Q91">
        <v>23</v>
      </c>
      <c r="R91">
        <v>49.5</v>
      </c>
      <c r="T91" t="b">
        <v>0</v>
      </c>
      <c r="U91" t="s">
        <v>240</v>
      </c>
      <c r="V91">
        <v>277</v>
      </c>
      <c r="W91">
        <v>5.0000000000011403E-2</v>
      </c>
      <c r="X91">
        <v>277.06769664626597</v>
      </c>
      <c r="Y91">
        <v>277</v>
      </c>
      <c r="Z91">
        <v>6.7696646266028906E-2</v>
      </c>
      <c r="AA91">
        <v>44</v>
      </c>
      <c r="AB91">
        <v>31</v>
      </c>
      <c r="AC91">
        <v>3</v>
      </c>
      <c r="AD91" t="b">
        <v>1</v>
      </c>
      <c r="AE91" t="s">
        <v>212</v>
      </c>
      <c r="AF91" t="s">
        <v>143</v>
      </c>
      <c r="AG91" t="b">
        <v>0</v>
      </c>
      <c r="AH91" t="b">
        <v>1</v>
      </c>
      <c r="AI91" t="b">
        <v>1</v>
      </c>
      <c r="AJ91" t="b">
        <v>0</v>
      </c>
      <c r="AK91" t="s">
        <v>237</v>
      </c>
      <c r="AL91" t="s">
        <v>239</v>
      </c>
      <c r="AR91" t="b">
        <v>0</v>
      </c>
      <c r="AS91">
        <v>2302</v>
      </c>
      <c r="BY91">
        <v>45.559640000000002</v>
      </c>
      <c r="EH91" s="3">
        <f t="shared" si="2"/>
        <v>1.0416666666666666E-2</v>
      </c>
    </row>
    <row r="92" spans="1:138" x14ac:dyDescent="0.25">
      <c r="A92" s="1">
        <v>854</v>
      </c>
      <c r="B92" t="s">
        <v>237</v>
      </c>
      <c r="C92" t="s">
        <v>309</v>
      </c>
      <c r="G92">
        <v>165.04349999999999</v>
      </c>
      <c r="H92">
        <v>15.256</v>
      </c>
      <c r="I92" t="s">
        <v>349</v>
      </c>
      <c r="K92" t="s">
        <v>239</v>
      </c>
      <c r="L92" t="s">
        <v>137</v>
      </c>
      <c r="M92">
        <v>16.855</v>
      </c>
      <c r="N92">
        <v>131.54</v>
      </c>
      <c r="O92">
        <v>-1</v>
      </c>
      <c r="P92">
        <v>3</v>
      </c>
      <c r="Q92">
        <v>25</v>
      </c>
      <c r="R92">
        <v>100</v>
      </c>
      <c r="T92" t="b">
        <v>0</v>
      </c>
      <c r="U92" t="s">
        <v>240</v>
      </c>
      <c r="V92">
        <v>165</v>
      </c>
      <c r="W92">
        <v>4.3499999999994501E-2</v>
      </c>
      <c r="X92">
        <v>165.05404219974</v>
      </c>
      <c r="Y92">
        <v>165</v>
      </c>
      <c r="Z92">
        <v>5.4042199740138103E-2</v>
      </c>
      <c r="AA92">
        <v>44</v>
      </c>
      <c r="AB92">
        <v>25</v>
      </c>
      <c r="AC92">
        <v>4</v>
      </c>
      <c r="AD92" t="b">
        <v>1</v>
      </c>
      <c r="AE92" t="s">
        <v>212</v>
      </c>
      <c r="AF92" t="s">
        <v>143</v>
      </c>
      <c r="AG92" t="b">
        <v>0</v>
      </c>
      <c r="AH92" t="b">
        <v>1</v>
      </c>
      <c r="AI92" t="b">
        <v>1</v>
      </c>
      <c r="AJ92" t="b">
        <v>0</v>
      </c>
      <c r="AK92" t="s">
        <v>237</v>
      </c>
      <c r="AL92" t="s">
        <v>239</v>
      </c>
      <c r="AR92" t="b">
        <v>0</v>
      </c>
      <c r="AS92">
        <v>854</v>
      </c>
      <c r="CW92">
        <v>1023.001</v>
      </c>
      <c r="EH92" s="3">
        <f t="shared" si="2"/>
        <v>1.0416666666666666E-2</v>
      </c>
    </row>
    <row r="93" spans="1:138" x14ac:dyDescent="0.25">
      <c r="A93" s="1">
        <v>6109</v>
      </c>
      <c r="B93" t="s">
        <v>237</v>
      </c>
      <c r="C93" t="s">
        <v>205</v>
      </c>
      <c r="G93">
        <v>530.96379999999999</v>
      </c>
      <c r="H93">
        <v>15.347</v>
      </c>
      <c r="I93" t="s">
        <v>349</v>
      </c>
      <c r="K93" t="s">
        <v>239</v>
      </c>
      <c r="L93" t="s">
        <v>137</v>
      </c>
      <c r="M93">
        <v>23.227</v>
      </c>
      <c r="N93">
        <v>171.97</v>
      </c>
      <c r="O93">
        <v>-1</v>
      </c>
      <c r="P93">
        <v>1</v>
      </c>
      <c r="Q93">
        <v>27</v>
      </c>
      <c r="R93">
        <v>93.2</v>
      </c>
      <c r="T93" t="b">
        <v>0</v>
      </c>
      <c r="U93" t="s">
        <v>240</v>
      </c>
      <c r="V93">
        <v>531</v>
      </c>
      <c r="W93">
        <v>-3.6200000000007997E-2</v>
      </c>
      <c r="X93">
        <v>530.99771546128397</v>
      </c>
      <c r="Y93">
        <v>531</v>
      </c>
      <c r="Z93">
        <v>-2.2845387162533002E-3</v>
      </c>
      <c r="AA93">
        <v>37</v>
      </c>
      <c r="AB93">
        <v>12</v>
      </c>
      <c r="AC93">
        <v>5</v>
      </c>
      <c r="AD93" t="b">
        <v>1</v>
      </c>
      <c r="AE93" t="s">
        <v>212</v>
      </c>
      <c r="AF93" t="s">
        <v>143</v>
      </c>
      <c r="AG93" t="b">
        <v>0</v>
      </c>
      <c r="AH93" t="b">
        <v>1</v>
      </c>
      <c r="AI93" t="b">
        <v>1</v>
      </c>
      <c r="AJ93" t="b">
        <v>0</v>
      </c>
      <c r="AK93" t="s">
        <v>237</v>
      </c>
      <c r="AL93" t="s">
        <v>239</v>
      </c>
      <c r="AR93" t="b">
        <v>0</v>
      </c>
      <c r="AS93">
        <v>6109</v>
      </c>
      <c r="DA93">
        <v>0.48013450000000002</v>
      </c>
      <c r="EH93" s="3">
        <f t="shared" si="2"/>
        <v>1.0416666666666666E-2</v>
      </c>
    </row>
    <row r="94" spans="1:138" x14ac:dyDescent="0.25">
      <c r="A94" s="1">
        <v>1390</v>
      </c>
      <c r="B94" t="s">
        <v>237</v>
      </c>
      <c r="C94" t="s">
        <v>264</v>
      </c>
      <c r="G94">
        <v>231.04990000000001</v>
      </c>
      <c r="H94">
        <v>15.448</v>
      </c>
      <c r="I94" t="s">
        <v>349</v>
      </c>
      <c r="K94" t="s">
        <v>239</v>
      </c>
      <c r="L94" t="s">
        <v>137</v>
      </c>
      <c r="M94">
        <v>18.434999999999999</v>
      </c>
      <c r="N94">
        <v>140.88999999999999</v>
      </c>
      <c r="O94">
        <v>-1</v>
      </c>
      <c r="P94">
        <v>1</v>
      </c>
      <c r="Q94">
        <v>30</v>
      </c>
      <c r="R94">
        <v>56.1</v>
      </c>
      <c r="T94" t="b">
        <v>0</v>
      </c>
      <c r="U94" t="s">
        <v>240</v>
      </c>
      <c r="V94">
        <v>231</v>
      </c>
      <c r="W94">
        <v>4.9900000000008E-2</v>
      </c>
      <c r="X94">
        <v>231.06465837700799</v>
      </c>
      <c r="Y94">
        <v>231</v>
      </c>
      <c r="Z94">
        <v>6.4658377008129306E-2</v>
      </c>
      <c r="AA94">
        <v>40</v>
      </c>
      <c r="AB94">
        <v>26</v>
      </c>
      <c r="AC94">
        <v>3</v>
      </c>
      <c r="AD94" t="b">
        <v>1</v>
      </c>
      <c r="AE94" t="s">
        <v>212</v>
      </c>
      <c r="AF94" t="s">
        <v>143</v>
      </c>
      <c r="AG94" t="b">
        <v>0</v>
      </c>
      <c r="AH94" t="b">
        <v>1</v>
      </c>
      <c r="AI94" t="b">
        <v>1</v>
      </c>
      <c r="AJ94" t="b">
        <v>0</v>
      </c>
      <c r="AK94" t="s">
        <v>237</v>
      </c>
      <c r="AL94" t="s">
        <v>239</v>
      </c>
      <c r="AR94" t="b">
        <v>0</v>
      </c>
      <c r="AS94">
        <v>1390</v>
      </c>
      <c r="CB94">
        <v>451.99900000000002</v>
      </c>
      <c r="EH94" s="3">
        <f t="shared" si="2"/>
        <v>1.0416666666666666E-2</v>
      </c>
    </row>
    <row r="95" spans="1:138" x14ac:dyDescent="0.25">
      <c r="A95" s="1">
        <v>8187</v>
      </c>
      <c r="B95" t="s">
        <v>237</v>
      </c>
      <c r="C95" t="s">
        <v>189</v>
      </c>
      <c r="G95">
        <v>404.99220000000003</v>
      </c>
      <c r="H95">
        <v>15.736000000000001</v>
      </c>
      <c r="I95" t="s">
        <v>349</v>
      </c>
      <c r="K95" t="s">
        <v>239</v>
      </c>
      <c r="L95" t="s">
        <v>137</v>
      </c>
      <c r="M95">
        <v>23.774999999999999</v>
      </c>
      <c r="N95">
        <v>177.37</v>
      </c>
      <c r="O95">
        <v>-1</v>
      </c>
      <c r="P95">
        <v>1</v>
      </c>
      <c r="Q95">
        <v>15</v>
      </c>
      <c r="R95">
        <v>77.8</v>
      </c>
      <c r="T95" t="b">
        <v>0</v>
      </c>
      <c r="U95" t="s">
        <v>240</v>
      </c>
      <c r="V95">
        <v>405</v>
      </c>
      <c r="W95">
        <v>-7.7999999999746996E-3</v>
      </c>
      <c r="X95">
        <v>405.01806899008801</v>
      </c>
      <c r="Y95">
        <v>405</v>
      </c>
      <c r="Z95">
        <v>1.8068990088124799E-2</v>
      </c>
      <c r="AA95">
        <v>33</v>
      </c>
      <c r="AB95">
        <v>8</v>
      </c>
      <c r="AC95">
        <v>3</v>
      </c>
      <c r="AD95" t="b">
        <v>1</v>
      </c>
      <c r="AE95" t="s">
        <v>212</v>
      </c>
      <c r="AF95" t="s">
        <v>143</v>
      </c>
      <c r="AG95" t="b">
        <v>0</v>
      </c>
      <c r="AH95" t="b">
        <v>1</v>
      </c>
      <c r="AI95" t="b">
        <v>1</v>
      </c>
      <c r="AJ95" t="b">
        <v>0</v>
      </c>
      <c r="AK95" t="s">
        <v>237</v>
      </c>
      <c r="AL95" t="s">
        <v>239</v>
      </c>
      <c r="AR95" t="b">
        <v>0</v>
      </c>
      <c r="AS95">
        <v>8187</v>
      </c>
      <c r="BF95">
        <v>20.79804</v>
      </c>
      <c r="EH95" s="3">
        <f t="shared" si="2"/>
        <v>1.0416666666666666E-2</v>
      </c>
    </row>
    <row r="96" spans="1:138" x14ac:dyDescent="0.25">
      <c r="A96" s="1">
        <v>4150</v>
      </c>
      <c r="B96" t="s">
        <v>237</v>
      </c>
      <c r="C96" t="s">
        <v>226</v>
      </c>
      <c r="G96">
        <v>289.03129999999999</v>
      </c>
      <c r="H96">
        <v>16.074000000000002</v>
      </c>
      <c r="I96" t="s">
        <v>349</v>
      </c>
      <c r="K96" t="s">
        <v>239</v>
      </c>
      <c r="L96" t="s">
        <v>137</v>
      </c>
      <c r="M96">
        <v>20.577999999999999</v>
      </c>
      <c r="N96">
        <v>155.54</v>
      </c>
      <c r="O96">
        <v>-1</v>
      </c>
      <c r="P96">
        <v>1</v>
      </c>
      <c r="Q96">
        <v>12</v>
      </c>
      <c r="R96">
        <v>51.1</v>
      </c>
      <c r="T96" t="b">
        <v>0</v>
      </c>
      <c r="U96" t="s">
        <v>240</v>
      </c>
      <c r="V96">
        <v>289</v>
      </c>
      <c r="W96">
        <v>3.12999999999874E-2</v>
      </c>
      <c r="X96">
        <v>289.04976195515599</v>
      </c>
      <c r="Y96">
        <v>289</v>
      </c>
      <c r="Z96">
        <v>4.9761955155759097E-2</v>
      </c>
      <c r="AA96">
        <v>40</v>
      </c>
      <c r="AB96">
        <v>15</v>
      </c>
      <c r="AC96">
        <v>3</v>
      </c>
      <c r="AD96" t="b">
        <v>1</v>
      </c>
      <c r="AE96" t="s">
        <v>212</v>
      </c>
      <c r="AF96" t="s">
        <v>165</v>
      </c>
      <c r="AG96" t="b">
        <v>0</v>
      </c>
      <c r="AH96" t="b">
        <v>1</v>
      </c>
      <c r="AI96" t="b">
        <v>1</v>
      </c>
      <c r="AJ96" t="b">
        <v>0</v>
      </c>
      <c r="AK96" t="s">
        <v>237</v>
      </c>
      <c r="AL96" t="s">
        <v>239</v>
      </c>
      <c r="AR96" t="b">
        <v>0</v>
      </c>
      <c r="AS96">
        <v>4150</v>
      </c>
      <c r="AT96">
        <v>183.999</v>
      </c>
      <c r="EH96" s="3">
        <f t="shared" si="2"/>
        <v>1.0416666666666666E-2</v>
      </c>
    </row>
    <row r="97" spans="1:138" x14ac:dyDescent="0.25">
      <c r="A97" s="1">
        <v>4764</v>
      </c>
      <c r="B97" t="s">
        <v>237</v>
      </c>
      <c r="C97" t="s">
        <v>310</v>
      </c>
      <c r="G97">
        <v>404.9923</v>
      </c>
      <c r="H97">
        <v>16.076000000000001</v>
      </c>
      <c r="I97" t="s">
        <v>349</v>
      </c>
      <c r="K97" t="s">
        <v>239</v>
      </c>
      <c r="L97" t="s">
        <v>137</v>
      </c>
      <c r="M97">
        <v>23.687999999999999</v>
      </c>
      <c r="N97">
        <v>176.72</v>
      </c>
      <c r="O97">
        <v>-1</v>
      </c>
      <c r="P97">
        <v>1</v>
      </c>
      <c r="Q97">
        <v>34</v>
      </c>
      <c r="R97">
        <v>89.6</v>
      </c>
      <c r="T97" t="b">
        <v>0</v>
      </c>
      <c r="U97" t="s">
        <v>240</v>
      </c>
      <c r="V97">
        <v>405</v>
      </c>
      <c r="W97">
        <v>-7.6999999999997999E-3</v>
      </c>
      <c r="X97">
        <v>405.01816899647599</v>
      </c>
      <c r="Y97">
        <v>405</v>
      </c>
      <c r="Z97">
        <v>1.8168996475594699E-2</v>
      </c>
      <c r="AA97">
        <v>41</v>
      </c>
      <c r="AB97">
        <v>27</v>
      </c>
      <c r="AC97">
        <v>3</v>
      </c>
      <c r="AD97" t="b">
        <v>1</v>
      </c>
      <c r="AE97" t="s">
        <v>212</v>
      </c>
      <c r="AF97" t="s">
        <v>165</v>
      </c>
      <c r="AG97" t="b">
        <v>0</v>
      </c>
      <c r="AH97" t="b">
        <v>1</v>
      </c>
      <c r="AI97" t="b">
        <v>1</v>
      </c>
      <c r="AJ97" t="b">
        <v>0</v>
      </c>
      <c r="AK97" t="s">
        <v>237</v>
      </c>
      <c r="AL97" t="s">
        <v>239</v>
      </c>
      <c r="AR97" t="b">
        <v>0</v>
      </c>
      <c r="AS97">
        <v>4764</v>
      </c>
      <c r="CK97">
        <v>29.989879999999999</v>
      </c>
      <c r="EH97" s="3">
        <f t="shared" si="2"/>
        <v>1.0416666666666666E-2</v>
      </c>
    </row>
    <row r="98" spans="1:138" x14ac:dyDescent="0.25">
      <c r="A98" s="1">
        <v>8148</v>
      </c>
      <c r="B98" t="s">
        <v>237</v>
      </c>
      <c r="C98" t="s">
        <v>307</v>
      </c>
      <c r="G98">
        <v>203.0248</v>
      </c>
      <c r="H98">
        <v>16.12</v>
      </c>
      <c r="I98" t="s">
        <v>349</v>
      </c>
      <c r="K98" t="s">
        <v>239</v>
      </c>
      <c r="L98" t="s">
        <v>137</v>
      </c>
      <c r="M98">
        <v>18.242999999999999</v>
      </c>
      <c r="N98">
        <v>140.41</v>
      </c>
      <c r="O98">
        <v>-1</v>
      </c>
      <c r="P98">
        <v>1</v>
      </c>
      <c r="Q98">
        <v>15</v>
      </c>
      <c r="R98">
        <v>98.5</v>
      </c>
      <c r="T98" t="b">
        <v>0</v>
      </c>
      <c r="U98" t="s">
        <v>240</v>
      </c>
      <c r="V98">
        <v>203</v>
      </c>
      <c r="W98">
        <v>2.4799999999999E-2</v>
      </c>
      <c r="X98">
        <v>203.03776826590399</v>
      </c>
      <c r="Y98">
        <v>203</v>
      </c>
      <c r="Z98">
        <v>3.7768265904475101E-2</v>
      </c>
      <c r="AA98">
        <v>42</v>
      </c>
      <c r="AB98">
        <v>24</v>
      </c>
      <c r="AC98">
        <v>3</v>
      </c>
      <c r="AD98" t="b">
        <v>1</v>
      </c>
      <c r="AE98" t="s">
        <v>142</v>
      </c>
      <c r="AF98" t="s">
        <v>165</v>
      </c>
      <c r="AG98" t="b">
        <v>0</v>
      </c>
      <c r="AH98" t="b">
        <v>1</v>
      </c>
      <c r="AI98" t="b">
        <v>1</v>
      </c>
      <c r="AJ98" t="b">
        <v>0</v>
      </c>
      <c r="AK98" t="s">
        <v>237</v>
      </c>
      <c r="AL98" t="s">
        <v>239</v>
      </c>
      <c r="AR98" t="b">
        <v>0</v>
      </c>
      <c r="AS98">
        <v>8148</v>
      </c>
      <c r="DG98">
        <v>9.0384250000000002</v>
      </c>
      <c r="EH98" s="3">
        <f t="shared" ref="EH98:EH129" si="3">COUNT(AT98:EG98)/96</f>
        <v>1.0416666666666666E-2</v>
      </c>
    </row>
    <row r="99" spans="1:138" x14ac:dyDescent="0.25">
      <c r="A99" s="1">
        <v>7113</v>
      </c>
      <c r="B99" t="s">
        <v>237</v>
      </c>
      <c r="C99" t="s">
        <v>232</v>
      </c>
      <c r="G99">
        <v>630.96040000000005</v>
      </c>
      <c r="H99">
        <v>16.126000000000001</v>
      </c>
      <c r="I99" t="s">
        <v>349</v>
      </c>
      <c r="K99" t="s">
        <v>239</v>
      </c>
      <c r="L99" t="s">
        <v>137</v>
      </c>
      <c r="M99">
        <v>24.963000000000001</v>
      </c>
      <c r="N99">
        <v>184.04</v>
      </c>
      <c r="O99">
        <v>-1</v>
      </c>
      <c r="P99">
        <v>1</v>
      </c>
      <c r="Q99">
        <v>21</v>
      </c>
      <c r="R99">
        <v>83</v>
      </c>
      <c r="T99" t="b">
        <v>0</v>
      </c>
      <c r="U99" t="s">
        <v>240</v>
      </c>
      <c r="V99">
        <v>631</v>
      </c>
      <c r="W99">
        <v>-3.95999999999503E-2</v>
      </c>
      <c r="X99">
        <v>631.00070277208704</v>
      </c>
      <c r="Y99">
        <v>631</v>
      </c>
      <c r="Z99">
        <v>7.0277208692449999E-4</v>
      </c>
      <c r="AA99">
        <v>39</v>
      </c>
      <c r="AB99">
        <v>22</v>
      </c>
      <c r="AC99">
        <v>4</v>
      </c>
      <c r="AD99" t="b">
        <v>1</v>
      </c>
      <c r="AE99" t="s">
        <v>212</v>
      </c>
      <c r="AF99" t="s">
        <v>143</v>
      </c>
      <c r="AG99" t="b">
        <v>0</v>
      </c>
      <c r="AH99" t="b">
        <v>1</v>
      </c>
      <c r="AI99" t="b">
        <v>1</v>
      </c>
      <c r="AJ99" t="b">
        <v>0</v>
      </c>
      <c r="AK99" t="s">
        <v>237</v>
      </c>
      <c r="AL99" t="s">
        <v>239</v>
      </c>
      <c r="AR99" t="b">
        <v>0</v>
      </c>
      <c r="AS99">
        <v>7113</v>
      </c>
      <c r="CK99">
        <v>26.848690000000001</v>
      </c>
      <c r="EH99" s="3">
        <f t="shared" si="3"/>
        <v>1.0416666666666666E-2</v>
      </c>
    </row>
    <row r="100" spans="1:138" x14ac:dyDescent="0.25">
      <c r="A100" s="1">
        <v>8383</v>
      </c>
      <c r="B100" t="s">
        <v>237</v>
      </c>
      <c r="C100" t="s">
        <v>192</v>
      </c>
      <c r="G100">
        <v>730.94510000000002</v>
      </c>
      <c r="H100">
        <v>16.172000000000001</v>
      </c>
      <c r="I100" t="s">
        <v>349</v>
      </c>
      <c r="K100" t="s">
        <v>239</v>
      </c>
      <c r="L100" t="s">
        <v>137</v>
      </c>
      <c r="M100">
        <v>26.911999999999999</v>
      </c>
      <c r="N100">
        <v>197.93</v>
      </c>
      <c r="O100">
        <v>-1</v>
      </c>
      <c r="P100">
        <v>1</v>
      </c>
      <c r="Q100">
        <v>16</v>
      </c>
      <c r="R100">
        <v>99</v>
      </c>
      <c r="T100" t="b">
        <v>0</v>
      </c>
      <c r="U100" t="s">
        <v>240</v>
      </c>
      <c r="V100">
        <v>731</v>
      </c>
      <c r="W100">
        <v>-5.4899999999975101E-2</v>
      </c>
      <c r="X100">
        <v>730.99178932277403</v>
      </c>
      <c r="Y100">
        <v>731</v>
      </c>
      <c r="Z100">
        <v>-8.2106772257475001E-3</v>
      </c>
      <c r="AA100">
        <v>33</v>
      </c>
      <c r="AB100">
        <v>9</v>
      </c>
      <c r="AC100">
        <v>3</v>
      </c>
      <c r="AD100" t="b">
        <v>1</v>
      </c>
      <c r="AE100" t="s">
        <v>142</v>
      </c>
      <c r="AF100" t="s">
        <v>143</v>
      </c>
      <c r="AG100" t="b">
        <v>0</v>
      </c>
      <c r="AH100" t="b">
        <v>1</v>
      </c>
      <c r="AI100" t="b">
        <v>1</v>
      </c>
      <c r="AJ100" t="b">
        <v>0</v>
      </c>
      <c r="AK100" t="s">
        <v>237</v>
      </c>
      <c r="AL100" t="s">
        <v>239</v>
      </c>
      <c r="AR100" t="b">
        <v>0</v>
      </c>
      <c r="AS100">
        <v>8383</v>
      </c>
      <c r="BU100">
        <v>10.79804</v>
      </c>
      <c r="EH100" s="3">
        <f t="shared" si="3"/>
        <v>1.0416666666666666E-2</v>
      </c>
    </row>
    <row r="101" spans="1:138" x14ac:dyDescent="0.25">
      <c r="A101" s="1">
        <v>3322</v>
      </c>
      <c r="B101" t="s">
        <v>237</v>
      </c>
      <c r="C101" t="s">
        <v>134</v>
      </c>
      <c r="G101">
        <v>231.05</v>
      </c>
      <c r="H101">
        <v>16.291</v>
      </c>
      <c r="I101" t="s">
        <v>349</v>
      </c>
      <c r="K101" t="s">
        <v>239</v>
      </c>
      <c r="L101" t="s">
        <v>137</v>
      </c>
      <c r="M101">
        <v>18.395</v>
      </c>
      <c r="N101">
        <v>140.62</v>
      </c>
      <c r="O101">
        <v>-1</v>
      </c>
      <c r="P101">
        <v>1</v>
      </c>
      <c r="Q101">
        <v>14</v>
      </c>
      <c r="R101">
        <v>44.7</v>
      </c>
      <c r="T101" t="b">
        <v>0</v>
      </c>
      <c r="U101" t="s">
        <v>240</v>
      </c>
      <c r="V101">
        <v>231</v>
      </c>
      <c r="W101">
        <v>5.0000000000011403E-2</v>
      </c>
      <c r="X101">
        <v>231.064758383396</v>
      </c>
      <c r="Y101">
        <v>231</v>
      </c>
      <c r="Z101">
        <v>6.4758383395684405E-2</v>
      </c>
      <c r="AA101">
        <v>38</v>
      </c>
      <c r="AB101">
        <v>11</v>
      </c>
      <c r="AC101">
        <v>3</v>
      </c>
      <c r="AD101" t="b">
        <v>1</v>
      </c>
      <c r="AE101" t="s">
        <v>212</v>
      </c>
      <c r="AF101" t="s">
        <v>143</v>
      </c>
      <c r="AG101" t="b">
        <v>0</v>
      </c>
      <c r="AH101" t="b">
        <v>1</v>
      </c>
      <c r="AI101" t="b">
        <v>1</v>
      </c>
      <c r="AJ101" t="b">
        <v>0</v>
      </c>
      <c r="AK101" t="s">
        <v>237</v>
      </c>
      <c r="AL101" t="s">
        <v>239</v>
      </c>
      <c r="AR101" t="b">
        <v>0</v>
      </c>
      <c r="AS101">
        <v>3322</v>
      </c>
      <c r="BT101">
        <v>307.99900000000002</v>
      </c>
      <c r="EH101" s="3">
        <f t="shared" si="3"/>
        <v>1.0416666666666666E-2</v>
      </c>
    </row>
    <row r="102" spans="1:138" x14ac:dyDescent="0.25">
      <c r="A102" s="1">
        <v>5334</v>
      </c>
      <c r="B102" t="s">
        <v>237</v>
      </c>
      <c r="C102" t="s">
        <v>134</v>
      </c>
      <c r="G102">
        <v>330.97820000000002</v>
      </c>
      <c r="H102">
        <v>7.68</v>
      </c>
      <c r="I102" t="s">
        <v>360</v>
      </c>
      <c r="K102" t="s">
        <v>239</v>
      </c>
      <c r="L102" t="s">
        <v>137</v>
      </c>
      <c r="M102">
        <v>19.542000000000002</v>
      </c>
      <c r="N102">
        <v>146.87</v>
      </c>
      <c r="O102">
        <v>-1</v>
      </c>
      <c r="P102">
        <v>1</v>
      </c>
      <c r="Q102">
        <v>30</v>
      </c>
      <c r="R102">
        <v>99</v>
      </c>
      <c r="T102" t="b">
        <v>0</v>
      </c>
      <c r="U102" t="s">
        <v>240</v>
      </c>
      <c r="V102">
        <v>331</v>
      </c>
      <c r="W102">
        <v>-2.17999999999847E-2</v>
      </c>
      <c r="X102">
        <v>330.99934132512999</v>
      </c>
      <c r="Y102">
        <v>331</v>
      </c>
      <c r="Z102">
        <v>-6.5867487035120001E-4</v>
      </c>
      <c r="AA102">
        <v>35</v>
      </c>
      <c r="AB102">
        <v>11</v>
      </c>
      <c r="AC102">
        <v>4</v>
      </c>
      <c r="AD102" t="b">
        <v>1</v>
      </c>
      <c r="AE102" t="s">
        <v>212</v>
      </c>
      <c r="AF102" t="s">
        <v>143</v>
      </c>
      <c r="AG102" t="b">
        <v>0</v>
      </c>
      <c r="AH102" t="b">
        <v>1</v>
      </c>
      <c r="AI102" t="b">
        <v>1</v>
      </c>
      <c r="AJ102" t="b">
        <v>0</v>
      </c>
      <c r="AK102" t="s">
        <v>237</v>
      </c>
      <c r="AL102" t="s">
        <v>239</v>
      </c>
      <c r="AR102" t="b">
        <v>0</v>
      </c>
      <c r="AS102">
        <v>5334</v>
      </c>
      <c r="BA102">
        <v>51.999000000000002</v>
      </c>
      <c r="BC102">
        <v>99.998999999999995</v>
      </c>
      <c r="BH102">
        <v>81.998999999999995</v>
      </c>
      <c r="BJ102">
        <v>60.999000000000002</v>
      </c>
      <c r="BV102">
        <v>100.999</v>
      </c>
      <c r="CB102">
        <v>58.999000000000002</v>
      </c>
      <c r="CD102">
        <v>112.999</v>
      </c>
      <c r="CJ102">
        <v>129.999</v>
      </c>
      <c r="CR102">
        <v>64.998999999999995</v>
      </c>
      <c r="CW102">
        <v>89.998999999999995</v>
      </c>
      <c r="CY102">
        <v>65.998999999999995</v>
      </c>
      <c r="DH102">
        <v>55.999000000000002</v>
      </c>
      <c r="DO102">
        <v>103.999</v>
      </c>
      <c r="DS102">
        <v>49.999000000000002</v>
      </c>
      <c r="EC102">
        <v>126.999</v>
      </c>
      <c r="EH102" s="3">
        <f t="shared" si="3"/>
        <v>0.15625</v>
      </c>
    </row>
    <row r="103" spans="1:138" x14ac:dyDescent="0.25">
      <c r="A103" s="1">
        <v>5350</v>
      </c>
      <c r="B103" t="s">
        <v>237</v>
      </c>
      <c r="C103" t="s">
        <v>189</v>
      </c>
      <c r="G103">
        <v>230.9836</v>
      </c>
      <c r="H103">
        <v>4.524</v>
      </c>
      <c r="I103" t="s">
        <v>360</v>
      </c>
      <c r="K103" t="s">
        <v>239</v>
      </c>
      <c r="L103" t="s">
        <v>137</v>
      </c>
      <c r="M103">
        <v>15.975</v>
      </c>
      <c r="N103">
        <v>122.1</v>
      </c>
      <c r="O103">
        <v>-1</v>
      </c>
      <c r="P103">
        <v>1</v>
      </c>
      <c r="Q103">
        <v>11</v>
      </c>
      <c r="R103">
        <v>99.7</v>
      </c>
      <c r="T103" t="b">
        <v>0</v>
      </c>
      <c r="U103" t="s">
        <v>240</v>
      </c>
      <c r="V103">
        <v>231</v>
      </c>
      <c r="W103">
        <v>-1.6400000000004401E-2</v>
      </c>
      <c r="X103">
        <v>230.99835414207701</v>
      </c>
      <c r="Y103">
        <v>231</v>
      </c>
      <c r="Z103">
        <v>-1.6458579229095E-3</v>
      </c>
      <c r="AA103">
        <v>36</v>
      </c>
      <c r="AB103">
        <v>8</v>
      </c>
      <c r="AC103">
        <v>4</v>
      </c>
      <c r="AD103" t="b">
        <v>1</v>
      </c>
      <c r="AE103" t="s">
        <v>212</v>
      </c>
      <c r="AF103" t="s">
        <v>143</v>
      </c>
      <c r="AG103" t="b">
        <v>0</v>
      </c>
      <c r="AH103" t="b">
        <v>1</v>
      </c>
      <c r="AI103" t="b">
        <v>1</v>
      </c>
      <c r="AJ103" t="b">
        <v>0</v>
      </c>
      <c r="AK103" t="s">
        <v>237</v>
      </c>
      <c r="AL103" t="s">
        <v>239</v>
      </c>
      <c r="AR103" t="b">
        <v>0</v>
      </c>
      <c r="AS103">
        <v>5350</v>
      </c>
      <c r="BD103">
        <v>167.999</v>
      </c>
      <c r="CU103">
        <v>327.99900000000002</v>
      </c>
      <c r="CY103">
        <v>228.999</v>
      </c>
      <c r="DM103">
        <v>278.99900000000002</v>
      </c>
      <c r="DS103">
        <v>155.999</v>
      </c>
      <c r="DY103">
        <v>232.999</v>
      </c>
      <c r="EC103">
        <v>623.99900000000002</v>
      </c>
      <c r="EH103" s="3">
        <f t="shared" si="3"/>
        <v>7.2916666666666671E-2</v>
      </c>
    </row>
    <row r="104" spans="1:138" x14ac:dyDescent="0.25">
      <c r="A104" s="1">
        <v>7753</v>
      </c>
      <c r="B104" t="s">
        <v>237</v>
      </c>
      <c r="C104" t="s">
        <v>208</v>
      </c>
      <c r="G104">
        <v>380.97140000000002</v>
      </c>
      <c r="H104">
        <v>8.8089999999999993</v>
      </c>
      <c r="I104" t="s">
        <v>360</v>
      </c>
      <c r="K104" t="s">
        <v>239</v>
      </c>
      <c r="L104" t="s">
        <v>137</v>
      </c>
      <c r="M104">
        <v>19.577000000000002</v>
      </c>
      <c r="N104">
        <v>146.38999999999999</v>
      </c>
      <c r="O104">
        <v>-1</v>
      </c>
      <c r="P104">
        <v>1</v>
      </c>
      <c r="Q104">
        <v>11</v>
      </c>
      <c r="R104">
        <v>89.1</v>
      </c>
      <c r="T104" t="b">
        <v>0</v>
      </c>
      <c r="U104" t="s">
        <v>240</v>
      </c>
      <c r="V104">
        <v>381</v>
      </c>
      <c r="W104">
        <v>-2.8599999999983101E-2</v>
      </c>
      <c r="X104">
        <v>380.99573465476698</v>
      </c>
      <c r="Y104">
        <v>381</v>
      </c>
      <c r="Z104">
        <v>-4.2653452326816997E-3</v>
      </c>
      <c r="AA104">
        <v>38</v>
      </c>
      <c r="AB104">
        <v>6</v>
      </c>
      <c r="AC104">
        <v>8</v>
      </c>
      <c r="AD104" t="b">
        <v>1</v>
      </c>
      <c r="AE104" t="s">
        <v>142</v>
      </c>
      <c r="AF104" t="s">
        <v>143</v>
      </c>
      <c r="AG104" t="b">
        <v>0</v>
      </c>
      <c r="AH104" t="b">
        <v>1</v>
      </c>
      <c r="AI104" t="b">
        <v>1</v>
      </c>
      <c r="AJ104" t="b">
        <v>0</v>
      </c>
      <c r="AK104" t="s">
        <v>237</v>
      </c>
      <c r="AL104" t="s">
        <v>239</v>
      </c>
      <c r="AR104" t="b">
        <v>0</v>
      </c>
      <c r="AS104">
        <v>7753</v>
      </c>
      <c r="CJ104">
        <v>67.998999999999995</v>
      </c>
      <c r="CR104">
        <v>102.999</v>
      </c>
      <c r="CS104">
        <v>59.999000000000002</v>
      </c>
      <c r="DG104">
        <v>117.999</v>
      </c>
      <c r="DI104">
        <v>92.998999999999995</v>
      </c>
      <c r="DM104">
        <v>129.999</v>
      </c>
      <c r="EC104">
        <v>152.999</v>
      </c>
      <c r="EH104" s="3">
        <f t="shared" si="3"/>
        <v>7.2916666666666671E-2</v>
      </c>
    </row>
    <row r="105" spans="1:138" x14ac:dyDescent="0.25">
      <c r="A105" s="1">
        <v>6978</v>
      </c>
      <c r="B105" t="s">
        <v>284</v>
      </c>
      <c r="C105" t="s">
        <v>205</v>
      </c>
      <c r="G105">
        <v>230.9864</v>
      </c>
      <c r="H105">
        <v>4.4390000000000001</v>
      </c>
      <c r="I105" t="s">
        <v>360</v>
      </c>
      <c r="K105" t="s">
        <v>286</v>
      </c>
      <c r="L105" t="s">
        <v>137</v>
      </c>
      <c r="M105">
        <v>15.928000000000001</v>
      </c>
      <c r="N105">
        <v>121.69</v>
      </c>
      <c r="O105">
        <v>-1</v>
      </c>
      <c r="P105">
        <v>1</v>
      </c>
      <c r="Q105">
        <v>14</v>
      </c>
      <c r="R105">
        <v>94.9</v>
      </c>
      <c r="T105" t="b">
        <v>0</v>
      </c>
      <c r="U105" t="s">
        <v>240</v>
      </c>
      <c r="V105">
        <v>231</v>
      </c>
      <c r="W105">
        <v>-1.35999999999967E-2</v>
      </c>
      <c r="X105">
        <v>231.00115432092801</v>
      </c>
      <c r="Y105">
        <v>231</v>
      </c>
      <c r="Z105">
        <v>1.1543209278669999E-3</v>
      </c>
      <c r="AA105">
        <v>31</v>
      </c>
      <c r="AB105">
        <v>12</v>
      </c>
      <c r="AC105">
        <v>3</v>
      </c>
      <c r="AD105" t="b">
        <v>1</v>
      </c>
      <c r="AE105" t="s">
        <v>142</v>
      </c>
      <c r="AF105" t="s">
        <v>143</v>
      </c>
      <c r="AG105" t="b">
        <v>0</v>
      </c>
      <c r="AH105" t="b">
        <v>1</v>
      </c>
      <c r="AI105" t="b">
        <v>1</v>
      </c>
      <c r="AJ105" t="b">
        <v>0</v>
      </c>
      <c r="AK105" t="s">
        <v>284</v>
      </c>
      <c r="AL105" t="s">
        <v>286</v>
      </c>
      <c r="AR105" t="b">
        <v>0</v>
      </c>
      <c r="AS105">
        <v>6978</v>
      </c>
      <c r="BK105">
        <v>107.999</v>
      </c>
      <c r="CG105">
        <v>117.999</v>
      </c>
      <c r="CL105">
        <v>126.999</v>
      </c>
      <c r="CR105">
        <v>89.998999999999995</v>
      </c>
      <c r="DI105">
        <v>139.999</v>
      </c>
      <c r="DO105">
        <v>73.998999999999995</v>
      </c>
      <c r="EH105" s="3">
        <f t="shared" si="3"/>
        <v>6.25E-2</v>
      </c>
    </row>
    <row r="106" spans="1:138" x14ac:dyDescent="0.25">
      <c r="A106" s="1">
        <v>4794</v>
      </c>
      <c r="B106" t="s">
        <v>237</v>
      </c>
      <c r="C106" t="s">
        <v>134</v>
      </c>
      <c r="G106">
        <v>1030.9340999999999</v>
      </c>
      <c r="H106">
        <v>15.023999999999999</v>
      </c>
      <c r="I106" t="s">
        <v>360</v>
      </c>
      <c r="K106" t="s">
        <v>239</v>
      </c>
      <c r="L106" t="s">
        <v>137</v>
      </c>
      <c r="M106">
        <v>34.539000000000001</v>
      </c>
      <c r="N106">
        <v>252.52</v>
      </c>
      <c r="O106">
        <v>-1</v>
      </c>
      <c r="P106">
        <v>1</v>
      </c>
      <c r="Q106">
        <v>31</v>
      </c>
      <c r="R106">
        <v>69</v>
      </c>
      <c r="T106" t="b">
        <v>0</v>
      </c>
      <c r="U106" t="s">
        <v>240</v>
      </c>
      <c r="V106">
        <v>1031</v>
      </c>
      <c r="W106">
        <v>-6.5900000000055997E-2</v>
      </c>
      <c r="X106">
        <v>1030.9999512040799</v>
      </c>
      <c r="Y106">
        <v>1031</v>
      </c>
      <c r="Z106">
        <v>-4.8795916654853499E-5</v>
      </c>
      <c r="AA106">
        <v>35</v>
      </c>
      <c r="AB106">
        <v>11</v>
      </c>
      <c r="AC106">
        <v>4</v>
      </c>
      <c r="AD106" t="b">
        <v>1</v>
      </c>
      <c r="AE106" t="s">
        <v>212</v>
      </c>
      <c r="AF106" t="s">
        <v>143</v>
      </c>
      <c r="AG106" t="b">
        <v>0</v>
      </c>
      <c r="AH106" t="b">
        <v>1</v>
      </c>
      <c r="AI106" t="b">
        <v>1</v>
      </c>
      <c r="AJ106" t="b">
        <v>0</v>
      </c>
      <c r="AK106" t="s">
        <v>237</v>
      </c>
      <c r="AL106" t="s">
        <v>239</v>
      </c>
      <c r="AR106" t="b">
        <v>0</v>
      </c>
      <c r="AS106">
        <v>4794</v>
      </c>
      <c r="BA106">
        <v>34.635509999999996</v>
      </c>
      <c r="BF106">
        <v>21.63551</v>
      </c>
      <c r="BH106">
        <v>8.6355109999999993</v>
      </c>
      <c r="CI106">
        <v>1.6355109999999999</v>
      </c>
      <c r="CK106">
        <v>4.6355110000000002</v>
      </c>
      <c r="DI106">
        <v>15.63551</v>
      </c>
      <c r="EH106" s="3">
        <f t="shared" si="3"/>
        <v>6.25E-2</v>
      </c>
    </row>
    <row r="107" spans="1:138" x14ac:dyDescent="0.25">
      <c r="A107" s="1">
        <v>2352</v>
      </c>
      <c r="B107" t="s">
        <v>237</v>
      </c>
      <c r="C107" t="s">
        <v>226</v>
      </c>
      <c r="G107">
        <v>630.95680000000004</v>
      </c>
      <c r="H107">
        <v>12.36</v>
      </c>
      <c r="I107" t="s">
        <v>360</v>
      </c>
      <c r="K107" t="s">
        <v>239</v>
      </c>
      <c r="L107" t="s">
        <v>137</v>
      </c>
      <c r="M107">
        <v>24.873999999999999</v>
      </c>
      <c r="N107">
        <v>183.41</v>
      </c>
      <c r="O107">
        <v>-1</v>
      </c>
      <c r="P107">
        <v>2</v>
      </c>
      <c r="Q107">
        <v>53</v>
      </c>
      <c r="R107">
        <v>100</v>
      </c>
      <c r="T107" t="b">
        <v>0</v>
      </c>
      <c r="U107" t="s">
        <v>240</v>
      </c>
      <c r="V107">
        <v>631</v>
      </c>
      <c r="W107">
        <v>-4.3199999999956197E-2</v>
      </c>
      <c r="X107">
        <v>630.99710254213596</v>
      </c>
      <c r="Y107">
        <v>631</v>
      </c>
      <c r="Z107">
        <v>-2.8974578640371998E-3</v>
      </c>
      <c r="AA107">
        <v>38</v>
      </c>
      <c r="AB107">
        <v>15</v>
      </c>
      <c r="AC107">
        <v>5</v>
      </c>
      <c r="AD107" t="b">
        <v>1</v>
      </c>
      <c r="AE107" t="s">
        <v>142</v>
      </c>
      <c r="AF107" t="s">
        <v>143</v>
      </c>
      <c r="AG107" t="b">
        <v>0</v>
      </c>
      <c r="AH107" t="b">
        <v>1</v>
      </c>
      <c r="AI107" t="b">
        <v>1</v>
      </c>
      <c r="AJ107" t="b">
        <v>0</v>
      </c>
      <c r="AK107" t="s">
        <v>237</v>
      </c>
      <c r="AL107" t="s">
        <v>239</v>
      </c>
      <c r="AR107" t="b">
        <v>0</v>
      </c>
      <c r="AS107">
        <v>2352</v>
      </c>
      <c r="BV107">
        <v>439.10340000000002</v>
      </c>
      <c r="BX107">
        <v>341.10340000000002</v>
      </c>
      <c r="CJ107">
        <v>529.10339999999997</v>
      </c>
      <c r="CW107">
        <v>11.10336</v>
      </c>
      <c r="DA107">
        <v>598.10339999999997</v>
      </c>
      <c r="EH107" s="3">
        <f t="shared" si="3"/>
        <v>5.2083333333333336E-2</v>
      </c>
    </row>
    <row r="108" spans="1:138" x14ac:dyDescent="0.25">
      <c r="A108" s="1">
        <v>1229</v>
      </c>
      <c r="B108" t="s">
        <v>237</v>
      </c>
      <c r="C108" t="s">
        <v>226</v>
      </c>
      <c r="G108">
        <v>680.9556</v>
      </c>
      <c r="H108">
        <v>12.824</v>
      </c>
      <c r="I108" t="s">
        <v>360</v>
      </c>
      <c r="K108" t="s">
        <v>239</v>
      </c>
      <c r="L108" t="s">
        <v>137</v>
      </c>
      <c r="M108">
        <v>25.884</v>
      </c>
      <c r="N108">
        <v>190.56</v>
      </c>
      <c r="O108">
        <v>-1</v>
      </c>
      <c r="P108">
        <v>2</v>
      </c>
      <c r="Q108">
        <v>89</v>
      </c>
      <c r="R108">
        <v>99.3</v>
      </c>
      <c r="T108" t="b">
        <v>0</v>
      </c>
      <c r="U108" t="s">
        <v>240</v>
      </c>
      <c r="V108">
        <v>681</v>
      </c>
      <c r="W108">
        <v>-4.4399999999995998E-2</v>
      </c>
      <c r="X108">
        <v>680.99909622947496</v>
      </c>
      <c r="Y108">
        <v>681</v>
      </c>
      <c r="Z108">
        <v>-9.0377052492840004E-4</v>
      </c>
      <c r="AA108">
        <v>38</v>
      </c>
      <c r="AB108">
        <v>15</v>
      </c>
      <c r="AC108">
        <v>5</v>
      </c>
      <c r="AD108" t="b">
        <v>1</v>
      </c>
      <c r="AE108" t="s">
        <v>142</v>
      </c>
      <c r="AF108" t="s">
        <v>143</v>
      </c>
      <c r="AG108" t="b">
        <v>0</v>
      </c>
      <c r="AH108" t="b">
        <v>1</v>
      </c>
      <c r="AI108" t="b">
        <v>1</v>
      </c>
      <c r="AJ108" t="b">
        <v>0</v>
      </c>
      <c r="AK108" t="s">
        <v>237</v>
      </c>
      <c r="AL108" t="s">
        <v>239</v>
      </c>
      <c r="AR108" t="b">
        <v>0</v>
      </c>
      <c r="AS108">
        <v>1229</v>
      </c>
      <c r="BV108">
        <v>305.55520000000001</v>
      </c>
      <c r="BX108">
        <v>318.55520000000001</v>
      </c>
      <c r="CJ108">
        <v>264.55520000000001</v>
      </c>
      <c r="DA108">
        <v>254.55520000000001</v>
      </c>
      <c r="EH108" s="3">
        <f t="shared" si="3"/>
        <v>4.1666666666666664E-2</v>
      </c>
    </row>
    <row r="109" spans="1:138" x14ac:dyDescent="0.25">
      <c r="A109" s="1">
        <v>671</v>
      </c>
      <c r="B109" t="s">
        <v>237</v>
      </c>
      <c r="C109" t="s">
        <v>226</v>
      </c>
      <c r="G109">
        <v>730.9529</v>
      </c>
      <c r="H109">
        <v>13.233000000000001</v>
      </c>
      <c r="I109" t="s">
        <v>360</v>
      </c>
      <c r="K109" t="s">
        <v>239</v>
      </c>
      <c r="L109" t="s">
        <v>137</v>
      </c>
      <c r="M109">
        <v>26.954999999999998</v>
      </c>
      <c r="N109">
        <v>198.17</v>
      </c>
      <c r="O109">
        <v>-1</v>
      </c>
      <c r="P109">
        <v>2</v>
      </c>
      <c r="Q109">
        <v>107</v>
      </c>
      <c r="R109">
        <v>97.8</v>
      </c>
      <c r="T109" t="b">
        <v>0</v>
      </c>
      <c r="U109" t="s">
        <v>240</v>
      </c>
      <c r="V109">
        <v>731</v>
      </c>
      <c r="W109">
        <v>-4.7100000000000398E-2</v>
      </c>
      <c r="X109">
        <v>730.999589821001</v>
      </c>
      <c r="Y109">
        <v>731</v>
      </c>
      <c r="Z109">
        <v>-4.101789986634E-4</v>
      </c>
      <c r="AA109">
        <v>38</v>
      </c>
      <c r="AB109">
        <v>15</v>
      </c>
      <c r="AC109">
        <v>5</v>
      </c>
      <c r="AD109" t="b">
        <v>1</v>
      </c>
      <c r="AE109" t="s">
        <v>142</v>
      </c>
      <c r="AF109" t="s">
        <v>143</v>
      </c>
      <c r="AG109" t="b">
        <v>0</v>
      </c>
      <c r="AH109" t="b">
        <v>1</v>
      </c>
      <c r="AI109" t="b">
        <v>1</v>
      </c>
      <c r="AJ109" t="b">
        <v>0</v>
      </c>
      <c r="AK109" t="s">
        <v>237</v>
      </c>
      <c r="AL109" t="s">
        <v>239</v>
      </c>
      <c r="AR109" t="b">
        <v>0</v>
      </c>
      <c r="AS109">
        <v>671</v>
      </c>
      <c r="BV109">
        <v>153.90260000000001</v>
      </c>
      <c r="BX109">
        <v>162.90260000000001</v>
      </c>
      <c r="CJ109">
        <v>193.90260000000001</v>
      </c>
      <c r="DA109">
        <v>79.902640000000005</v>
      </c>
      <c r="EH109" s="3">
        <f t="shared" si="3"/>
        <v>4.1666666666666664E-2</v>
      </c>
    </row>
    <row r="110" spans="1:138" x14ac:dyDescent="0.25">
      <c r="A110" s="1">
        <v>481</v>
      </c>
      <c r="B110" t="s">
        <v>237</v>
      </c>
      <c r="C110" t="s">
        <v>189</v>
      </c>
      <c r="G110">
        <v>994.93830000000003</v>
      </c>
      <c r="H110">
        <v>14.5</v>
      </c>
      <c r="I110" t="s">
        <v>360</v>
      </c>
      <c r="K110" t="s">
        <v>239</v>
      </c>
      <c r="L110" t="s">
        <v>137</v>
      </c>
      <c r="M110">
        <v>30.640999999999998</v>
      </c>
      <c r="N110">
        <v>224.16</v>
      </c>
      <c r="O110">
        <v>-1</v>
      </c>
      <c r="P110">
        <v>2</v>
      </c>
      <c r="Q110">
        <v>107</v>
      </c>
      <c r="R110">
        <v>100</v>
      </c>
      <c r="T110" t="b">
        <v>0</v>
      </c>
      <c r="U110" t="s">
        <v>240</v>
      </c>
      <c r="V110">
        <v>995</v>
      </c>
      <c r="W110">
        <v>-6.1699999999973401E-2</v>
      </c>
      <c r="X110">
        <v>995.00185196228699</v>
      </c>
      <c r="Y110">
        <v>995</v>
      </c>
      <c r="Z110">
        <v>1.8519622871053E-3</v>
      </c>
      <c r="AA110">
        <v>36</v>
      </c>
      <c r="AB110">
        <v>8</v>
      </c>
      <c r="AC110">
        <v>3</v>
      </c>
      <c r="AD110" t="b">
        <v>1</v>
      </c>
      <c r="AE110" t="s">
        <v>142</v>
      </c>
      <c r="AF110" t="s">
        <v>143</v>
      </c>
      <c r="AG110" t="b">
        <v>0</v>
      </c>
      <c r="AH110" t="b">
        <v>1</v>
      </c>
      <c r="AI110" t="b">
        <v>1</v>
      </c>
      <c r="AJ110" t="b">
        <v>0</v>
      </c>
      <c r="AK110" t="s">
        <v>237</v>
      </c>
      <c r="AL110" t="s">
        <v>239</v>
      </c>
      <c r="AR110" t="b">
        <v>0</v>
      </c>
      <c r="AS110">
        <v>481</v>
      </c>
      <c r="AT110">
        <v>4.5097399999999999</v>
      </c>
      <c r="CK110">
        <v>74.509739999999994</v>
      </c>
      <c r="DU110">
        <v>198.50970000000001</v>
      </c>
      <c r="EH110" s="3">
        <f t="shared" si="3"/>
        <v>3.125E-2</v>
      </c>
    </row>
    <row r="111" spans="1:138" x14ac:dyDescent="0.25">
      <c r="A111" s="1">
        <v>939</v>
      </c>
      <c r="B111" t="s">
        <v>237</v>
      </c>
      <c r="C111" t="s">
        <v>232</v>
      </c>
      <c r="G111">
        <v>330.97859999999997</v>
      </c>
      <c r="H111">
        <v>7.6790000000000003</v>
      </c>
      <c r="I111" t="s">
        <v>360</v>
      </c>
      <c r="K111" t="s">
        <v>239</v>
      </c>
      <c r="L111" t="s">
        <v>137</v>
      </c>
      <c r="M111">
        <v>18.302</v>
      </c>
      <c r="N111">
        <v>137.52000000000001</v>
      </c>
      <c r="O111">
        <v>-1</v>
      </c>
      <c r="P111">
        <v>1</v>
      </c>
      <c r="Q111">
        <v>101</v>
      </c>
      <c r="R111">
        <v>99.6</v>
      </c>
      <c r="T111" t="b">
        <v>0</v>
      </c>
      <c r="U111" t="s">
        <v>240</v>
      </c>
      <c r="V111">
        <v>331</v>
      </c>
      <c r="W111">
        <v>-2.1400000000028299E-2</v>
      </c>
      <c r="X111">
        <v>330.99974135067998</v>
      </c>
      <c r="Y111">
        <v>331</v>
      </c>
      <c r="Z111">
        <v>-2.586493202443E-4</v>
      </c>
      <c r="AA111">
        <v>39</v>
      </c>
      <c r="AB111">
        <v>22</v>
      </c>
      <c r="AC111">
        <v>4</v>
      </c>
      <c r="AD111" t="b">
        <v>1</v>
      </c>
      <c r="AE111" t="s">
        <v>142</v>
      </c>
      <c r="AF111" t="s">
        <v>143</v>
      </c>
      <c r="AG111" t="b">
        <v>0</v>
      </c>
      <c r="AH111" t="b">
        <v>1</v>
      </c>
      <c r="AI111" t="b">
        <v>1</v>
      </c>
      <c r="AJ111" t="b">
        <v>0</v>
      </c>
      <c r="AK111" t="s">
        <v>237</v>
      </c>
      <c r="AL111" t="s">
        <v>239</v>
      </c>
      <c r="AR111" t="b">
        <v>0</v>
      </c>
      <c r="AS111">
        <v>939</v>
      </c>
      <c r="CK111">
        <v>15.81579</v>
      </c>
      <c r="CX111">
        <v>26.81579</v>
      </c>
      <c r="EH111" s="3">
        <f t="shared" si="3"/>
        <v>2.0833333333333332E-2</v>
      </c>
    </row>
    <row r="112" spans="1:138" x14ac:dyDescent="0.25">
      <c r="A112" s="1">
        <v>1554</v>
      </c>
      <c r="B112" t="s">
        <v>237</v>
      </c>
      <c r="C112" t="s">
        <v>208</v>
      </c>
      <c r="G112">
        <v>780.94970000000001</v>
      </c>
      <c r="H112">
        <v>13.596</v>
      </c>
      <c r="I112" t="s">
        <v>360</v>
      </c>
      <c r="K112" t="s">
        <v>239</v>
      </c>
      <c r="L112" t="s">
        <v>137</v>
      </c>
      <c r="M112">
        <v>28.52</v>
      </c>
      <c r="N112">
        <v>209.44</v>
      </c>
      <c r="O112">
        <v>-1</v>
      </c>
      <c r="P112">
        <v>2</v>
      </c>
      <c r="Q112">
        <v>39</v>
      </c>
      <c r="R112">
        <v>85.9</v>
      </c>
      <c r="T112" t="b">
        <v>0</v>
      </c>
      <c r="U112" t="s">
        <v>240</v>
      </c>
      <c r="V112">
        <v>781</v>
      </c>
      <c r="W112">
        <v>-5.0299999999992899E-2</v>
      </c>
      <c r="X112">
        <v>780.99958338059002</v>
      </c>
      <c r="Y112">
        <v>781</v>
      </c>
      <c r="Z112">
        <v>-4.1661940997520002E-4</v>
      </c>
      <c r="AA112">
        <v>38</v>
      </c>
      <c r="AB112">
        <v>6</v>
      </c>
      <c r="AC112">
        <v>8</v>
      </c>
      <c r="AD112" t="b">
        <v>1</v>
      </c>
      <c r="AE112" t="s">
        <v>142</v>
      </c>
      <c r="AF112" t="s">
        <v>143</v>
      </c>
      <c r="AG112" t="b">
        <v>0</v>
      </c>
      <c r="AH112" t="b">
        <v>1</v>
      </c>
      <c r="AI112" t="b">
        <v>1</v>
      </c>
      <c r="AJ112" t="b">
        <v>0</v>
      </c>
      <c r="AK112" t="s">
        <v>237</v>
      </c>
      <c r="AL112" t="s">
        <v>239</v>
      </c>
      <c r="AR112" t="b">
        <v>0</v>
      </c>
      <c r="AS112">
        <v>1554</v>
      </c>
      <c r="CJ112">
        <v>97.993939999999995</v>
      </c>
      <c r="EH112" s="3">
        <f t="shared" si="3"/>
        <v>1.0416666666666666E-2</v>
      </c>
    </row>
    <row r="113" spans="1:138" x14ac:dyDescent="0.25">
      <c r="A113" s="1">
        <v>393</v>
      </c>
      <c r="B113" t="s">
        <v>237</v>
      </c>
      <c r="C113" t="s">
        <v>301</v>
      </c>
      <c r="G113">
        <v>944.94219999999996</v>
      </c>
      <c r="H113">
        <v>14.221</v>
      </c>
      <c r="I113" t="s">
        <v>360</v>
      </c>
      <c r="K113" t="s">
        <v>239</v>
      </c>
      <c r="L113" t="s">
        <v>137</v>
      </c>
      <c r="M113">
        <v>29.684000000000001</v>
      </c>
      <c r="N113">
        <v>217.32</v>
      </c>
      <c r="O113">
        <v>-1</v>
      </c>
      <c r="P113">
        <v>2</v>
      </c>
      <c r="Q113">
        <v>107</v>
      </c>
      <c r="R113">
        <v>100</v>
      </c>
      <c r="T113" t="b">
        <v>0</v>
      </c>
      <c r="U113" t="s">
        <v>240</v>
      </c>
      <c r="V113">
        <v>945</v>
      </c>
      <c r="W113">
        <v>-5.78000000000429E-2</v>
      </c>
      <c r="X113">
        <v>945.00255844741105</v>
      </c>
      <c r="Y113">
        <v>945</v>
      </c>
      <c r="Z113">
        <v>2.5584474110473001E-3</v>
      </c>
      <c r="AA113">
        <v>34</v>
      </c>
      <c r="AB113">
        <v>13</v>
      </c>
      <c r="AC113">
        <v>4</v>
      </c>
      <c r="AD113" t="b">
        <v>1</v>
      </c>
      <c r="AE113" t="s">
        <v>142</v>
      </c>
      <c r="AF113" t="s">
        <v>143</v>
      </c>
      <c r="AG113" t="b">
        <v>0</v>
      </c>
      <c r="AH113" t="b">
        <v>1</v>
      </c>
      <c r="AI113" t="b">
        <v>1</v>
      </c>
      <c r="AJ113" t="b">
        <v>0</v>
      </c>
      <c r="AK113" t="s">
        <v>237</v>
      </c>
      <c r="AL113" t="s">
        <v>239</v>
      </c>
      <c r="AR113" t="b">
        <v>0</v>
      </c>
      <c r="AS113">
        <v>393</v>
      </c>
      <c r="DR113">
        <v>51.812049999999999</v>
      </c>
      <c r="EH113" s="3">
        <f t="shared" si="3"/>
        <v>1.0416666666666666E-2</v>
      </c>
    </row>
    <row r="114" spans="1:138" x14ac:dyDescent="0.25">
      <c r="A114" s="1">
        <v>8441</v>
      </c>
      <c r="B114" t="s">
        <v>237</v>
      </c>
      <c r="C114" t="s">
        <v>189</v>
      </c>
      <c r="G114">
        <v>1044.9407000000001</v>
      </c>
      <c r="H114">
        <v>14.955</v>
      </c>
      <c r="I114" t="s">
        <v>360</v>
      </c>
      <c r="K114" t="s">
        <v>239</v>
      </c>
      <c r="L114" t="s">
        <v>137</v>
      </c>
      <c r="M114">
        <v>31.593</v>
      </c>
      <c r="N114">
        <v>230.93</v>
      </c>
      <c r="O114">
        <v>-1</v>
      </c>
      <c r="P114">
        <v>1</v>
      </c>
      <c r="Q114">
        <v>14</v>
      </c>
      <c r="R114">
        <v>99.6</v>
      </c>
      <c r="T114" t="b">
        <v>0</v>
      </c>
      <c r="U114" t="s">
        <v>240</v>
      </c>
      <c r="V114">
        <v>1045</v>
      </c>
      <c r="W114">
        <v>-5.9299999999893799E-2</v>
      </c>
      <c r="X114">
        <v>1045.00744587958</v>
      </c>
      <c r="Y114">
        <v>1045</v>
      </c>
      <c r="Z114">
        <v>7.4458795772898E-3</v>
      </c>
      <c r="AA114">
        <v>36</v>
      </c>
      <c r="AB114">
        <v>8</v>
      </c>
      <c r="AC114">
        <v>3</v>
      </c>
      <c r="AD114" t="b">
        <v>1</v>
      </c>
      <c r="AE114" t="s">
        <v>142</v>
      </c>
      <c r="AF114" t="s">
        <v>143</v>
      </c>
      <c r="AG114" t="b">
        <v>0</v>
      </c>
      <c r="AH114" t="b">
        <v>1</v>
      </c>
      <c r="AI114" t="b">
        <v>1</v>
      </c>
      <c r="AJ114" t="b">
        <v>0</v>
      </c>
      <c r="AK114" t="s">
        <v>237</v>
      </c>
      <c r="AL114" t="s">
        <v>239</v>
      </c>
      <c r="AR114" t="b">
        <v>0</v>
      </c>
      <c r="AS114">
        <v>8441</v>
      </c>
      <c r="AT114">
        <v>80.998999999999995</v>
      </c>
      <c r="EH114" s="3">
        <f t="shared" si="3"/>
        <v>1.0416666666666666E-2</v>
      </c>
    </row>
    <row r="115" spans="1:138" x14ac:dyDescent="0.25">
      <c r="A115" s="1">
        <v>404</v>
      </c>
      <c r="B115" t="s">
        <v>230</v>
      </c>
      <c r="C115" t="s">
        <v>181</v>
      </c>
      <c r="D115" t="s">
        <v>302</v>
      </c>
      <c r="E115" t="s">
        <v>303</v>
      </c>
      <c r="F115" t="s">
        <v>304</v>
      </c>
      <c r="G115">
        <v>168.99090000000001</v>
      </c>
      <c r="H115">
        <v>8.3529999999999998</v>
      </c>
      <c r="I115" t="s">
        <v>350</v>
      </c>
      <c r="J115" t="s">
        <v>137</v>
      </c>
      <c r="K115" t="s">
        <v>231</v>
      </c>
      <c r="L115" t="s">
        <v>137</v>
      </c>
      <c r="M115">
        <v>17.532</v>
      </c>
      <c r="N115">
        <v>136.58000000000001</v>
      </c>
      <c r="O115">
        <v>-1</v>
      </c>
      <c r="P115">
        <v>1</v>
      </c>
      <c r="Q115">
        <v>108</v>
      </c>
      <c r="R115">
        <v>99.5</v>
      </c>
      <c r="T115" t="b">
        <v>0</v>
      </c>
      <c r="U115" t="s">
        <v>305</v>
      </c>
      <c r="V115">
        <v>169</v>
      </c>
      <c r="W115">
        <v>-9.0999999999893996E-3</v>
      </c>
      <c r="X115">
        <v>169.00169434102</v>
      </c>
      <c r="Y115">
        <v>169</v>
      </c>
      <c r="Z115">
        <v>1.6943410196006E-3</v>
      </c>
      <c r="AA115">
        <v>38</v>
      </c>
      <c r="AB115">
        <v>0</v>
      </c>
      <c r="AC115">
        <v>0</v>
      </c>
      <c r="AD115" t="b">
        <v>1</v>
      </c>
      <c r="AG115" t="b">
        <v>0</v>
      </c>
      <c r="AH115" t="b">
        <v>0</v>
      </c>
      <c r="AI115" t="b">
        <v>0</v>
      </c>
      <c r="AJ115" t="b">
        <v>1</v>
      </c>
      <c r="AK115" t="s">
        <v>230</v>
      </c>
      <c r="AL115" t="s">
        <v>231</v>
      </c>
      <c r="AR115" t="b">
        <v>0</v>
      </c>
      <c r="AS115">
        <v>404</v>
      </c>
      <c r="AU115">
        <v>18.375830000000001</v>
      </c>
      <c r="BS115">
        <v>264.37580000000003</v>
      </c>
      <c r="BZ115">
        <v>6.3758330000000001</v>
      </c>
      <c r="EE115">
        <v>319.37580000000003</v>
      </c>
      <c r="EH115" s="3">
        <f t="shared" si="3"/>
        <v>4.1666666666666664E-2</v>
      </c>
    </row>
    <row r="116" spans="1:138" x14ac:dyDescent="0.25">
      <c r="A116" s="1">
        <v>4351</v>
      </c>
      <c r="B116" t="s">
        <v>237</v>
      </c>
      <c r="C116" t="s">
        <v>313</v>
      </c>
      <c r="G116">
        <v>450.04640000000001</v>
      </c>
      <c r="H116">
        <v>0.42599999999999999</v>
      </c>
      <c r="I116" t="s">
        <v>341</v>
      </c>
      <c r="K116" t="s">
        <v>239</v>
      </c>
      <c r="L116" t="s">
        <v>137</v>
      </c>
      <c r="M116">
        <v>25.92</v>
      </c>
      <c r="N116">
        <v>192.77</v>
      </c>
      <c r="O116">
        <v>-1</v>
      </c>
      <c r="P116">
        <v>1</v>
      </c>
      <c r="Q116">
        <v>29</v>
      </c>
      <c r="R116">
        <v>94.3</v>
      </c>
      <c r="T116" t="b">
        <v>0</v>
      </c>
      <c r="U116" t="s">
        <v>240</v>
      </c>
      <c r="V116">
        <v>450</v>
      </c>
      <c r="W116">
        <v>4.6400000000005499E-2</v>
      </c>
      <c r="X116">
        <v>450.07514683971903</v>
      </c>
      <c r="Y116">
        <v>450</v>
      </c>
      <c r="Z116">
        <v>7.5146839718854594E-2</v>
      </c>
      <c r="AA116">
        <v>46</v>
      </c>
      <c r="AB116">
        <v>39</v>
      </c>
      <c r="AC116">
        <v>4</v>
      </c>
      <c r="AD116" t="b">
        <v>1</v>
      </c>
      <c r="AE116" t="s">
        <v>212</v>
      </c>
      <c r="AF116" t="s">
        <v>143</v>
      </c>
      <c r="AG116" t="b">
        <v>0</v>
      </c>
      <c r="AH116" t="b">
        <v>1</v>
      </c>
      <c r="AI116" t="b">
        <v>1</v>
      </c>
      <c r="AJ116" t="b">
        <v>0</v>
      </c>
      <c r="AK116" t="s">
        <v>237</v>
      </c>
      <c r="AL116" t="s">
        <v>239</v>
      </c>
      <c r="AR116" t="b">
        <v>0</v>
      </c>
      <c r="AS116">
        <v>4351</v>
      </c>
      <c r="AZ116">
        <v>40.646120000000003</v>
      </c>
      <c r="CI116">
        <v>69.646119999999996</v>
      </c>
      <c r="DC116">
        <v>20.64612</v>
      </c>
      <c r="DD116">
        <v>15.64612</v>
      </c>
      <c r="DG116">
        <v>40.646120000000003</v>
      </c>
      <c r="EB116">
        <v>32.646120000000003</v>
      </c>
      <c r="EE116">
        <v>120.6461</v>
      </c>
      <c r="EH116" s="3">
        <f t="shared" si="3"/>
        <v>7.2916666666666671E-2</v>
      </c>
    </row>
    <row r="117" spans="1:138" x14ac:dyDescent="0.25">
      <c r="A117" s="1">
        <v>7364</v>
      </c>
      <c r="B117" t="s">
        <v>237</v>
      </c>
      <c r="C117" t="s">
        <v>316</v>
      </c>
      <c r="G117">
        <v>515.01400000000001</v>
      </c>
      <c r="H117">
        <v>0.41</v>
      </c>
      <c r="I117" t="s">
        <v>341</v>
      </c>
      <c r="K117" t="s">
        <v>239</v>
      </c>
      <c r="L117" t="s">
        <v>137</v>
      </c>
      <c r="M117">
        <v>27.117000000000001</v>
      </c>
      <c r="N117">
        <v>200.94</v>
      </c>
      <c r="O117">
        <v>-1</v>
      </c>
      <c r="P117">
        <v>1</v>
      </c>
      <c r="Q117">
        <v>14</v>
      </c>
      <c r="R117">
        <v>98.9</v>
      </c>
      <c r="T117" t="b">
        <v>0</v>
      </c>
      <c r="U117" t="s">
        <v>240</v>
      </c>
      <c r="V117">
        <v>515</v>
      </c>
      <c r="W117">
        <v>1.4000000000009999E-2</v>
      </c>
      <c r="X117">
        <v>515.04689666334605</v>
      </c>
      <c r="Y117">
        <v>515</v>
      </c>
      <c r="Z117">
        <v>4.6896663346160501E-2</v>
      </c>
      <c r="AA117">
        <v>40</v>
      </c>
      <c r="AB117">
        <v>18</v>
      </c>
      <c r="AC117">
        <v>4</v>
      </c>
      <c r="AD117" t="b">
        <v>1</v>
      </c>
      <c r="AE117" t="s">
        <v>212</v>
      </c>
      <c r="AF117" t="s">
        <v>143</v>
      </c>
      <c r="AG117" t="b">
        <v>0</v>
      </c>
      <c r="AH117" t="b">
        <v>1</v>
      </c>
      <c r="AI117" t="b">
        <v>1</v>
      </c>
      <c r="AJ117" t="b">
        <v>0</v>
      </c>
      <c r="AK117" t="s">
        <v>237</v>
      </c>
      <c r="AL117" t="s">
        <v>239</v>
      </c>
      <c r="AR117" t="b">
        <v>0</v>
      </c>
      <c r="AS117">
        <v>7364</v>
      </c>
      <c r="BA117">
        <v>139.7474</v>
      </c>
      <c r="BE117">
        <v>51.747399999999999</v>
      </c>
      <c r="BG117">
        <v>48.747399999999999</v>
      </c>
      <c r="CV117">
        <v>11.747400000000001</v>
      </c>
      <c r="CW117">
        <v>0.74740280000000003</v>
      </c>
      <c r="EH117" s="3">
        <f t="shared" si="3"/>
        <v>5.2083333333333336E-2</v>
      </c>
    </row>
    <row r="118" spans="1:138" x14ac:dyDescent="0.25">
      <c r="A118" s="1">
        <v>7585</v>
      </c>
      <c r="B118" t="s">
        <v>237</v>
      </c>
      <c r="C118" t="s">
        <v>189</v>
      </c>
      <c r="G118">
        <v>280.9778</v>
      </c>
      <c r="H118">
        <v>0.41799999999999998</v>
      </c>
      <c r="I118" t="s">
        <v>341</v>
      </c>
      <c r="K118" t="s">
        <v>239</v>
      </c>
      <c r="L118" t="s">
        <v>137</v>
      </c>
      <c r="M118">
        <v>21.14</v>
      </c>
      <c r="N118">
        <v>159.9</v>
      </c>
      <c r="O118">
        <v>-1</v>
      </c>
      <c r="P118">
        <v>1</v>
      </c>
      <c r="Q118">
        <v>11</v>
      </c>
      <c r="R118">
        <v>99.5</v>
      </c>
      <c r="T118" t="b">
        <v>0</v>
      </c>
      <c r="U118" t="s">
        <v>240</v>
      </c>
      <c r="V118">
        <v>281</v>
      </c>
      <c r="W118">
        <v>-2.2199999999997999E-2</v>
      </c>
      <c r="X118">
        <v>280.99574753559</v>
      </c>
      <c r="Y118">
        <v>281</v>
      </c>
      <c r="Z118">
        <v>-4.2524644100011997E-3</v>
      </c>
      <c r="AA118">
        <v>36</v>
      </c>
      <c r="AB118">
        <v>8</v>
      </c>
      <c r="AC118">
        <v>4</v>
      </c>
      <c r="AD118" t="b">
        <v>1</v>
      </c>
      <c r="AE118" t="s">
        <v>212</v>
      </c>
      <c r="AF118" t="s">
        <v>143</v>
      </c>
      <c r="AG118" t="b">
        <v>0</v>
      </c>
      <c r="AH118" t="b">
        <v>1</v>
      </c>
      <c r="AI118" t="b">
        <v>1</v>
      </c>
      <c r="AJ118" t="b">
        <v>0</v>
      </c>
      <c r="AK118" t="s">
        <v>237</v>
      </c>
      <c r="AL118" t="s">
        <v>239</v>
      </c>
      <c r="AR118" t="b">
        <v>0</v>
      </c>
      <c r="AS118">
        <v>7585</v>
      </c>
      <c r="BD118">
        <v>20.114719999999998</v>
      </c>
      <c r="BJ118">
        <v>127.1147</v>
      </c>
      <c r="CB118">
        <v>79.114720000000005</v>
      </c>
      <c r="CJ118">
        <v>57.114719999999998</v>
      </c>
      <c r="DH118">
        <v>6.1147169999999997</v>
      </c>
      <c r="EH118" s="3">
        <f t="shared" si="3"/>
        <v>5.2083333333333336E-2</v>
      </c>
    </row>
    <row r="119" spans="1:138" x14ac:dyDescent="0.25">
      <c r="A119" s="1">
        <v>5467</v>
      </c>
      <c r="B119" t="s">
        <v>225</v>
      </c>
      <c r="C119" t="s">
        <v>166</v>
      </c>
      <c r="G119">
        <v>512.96569999999997</v>
      </c>
      <c r="H119">
        <v>0.38900000000000001</v>
      </c>
      <c r="I119" t="s">
        <v>341</v>
      </c>
      <c r="K119" t="s">
        <v>228</v>
      </c>
      <c r="L119" t="s">
        <v>137</v>
      </c>
      <c r="M119">
        <v>26.28</v>
      </c>
      <c r="N119">
        <v>194.76</v>
      </c>
      <c r="O119">
        <v>-1</v>
      </c>
      <c r="P119">
        <v>1</v>
      </c>
      <c r="Q119">
        <v>20</v>
      </c>
      <c r="R119">
        <v>81.8</v>
      </c>
      <c r="T119" t="b">
        <v>0</v>
      </c>
      <c r="U119" t="s">
        <v>240</v>
      </c>
      <c r="V119">
        <v>513</v>
      </c>
      <c r="W119">
        <v>-3.4300000000030202E-2</v>
      </c>
      <c r="X119">
        <v>512.99846582761097</v>
      </c>
      <c r="Y119">
        <v>513</v>
      </c>
      <c r="Z119">
        <v>-1.5341723894835E-3</v>
      </c>
      <c r="AA119">
        <v>37</v>
      </c>
      <c r="AB119">
        <v>14</v>
      </c>
      <c r="AC119">
        <v>4</v>
      </c>
      <c r="AD119" t="b">
        <v>1</v>
      </c>
      <c r="AE119" t="s">
        <v>212</v>
      </c>
      <c r="AF119" t="s">
        <v>143</v>
      </c>
      <c r="AG119" t="b">
        <v>0</v>
      </c>
      <c r="AH119" t="b">
        <v>1</v>
      </c>
      <c r="AI119" t="b">
        <v>1</v>
      </c>
      <c r="AJ119" t="b">
        <v>0</v>
      </c>
      <c r="AK119" t="s">
        <v>225</v>
      </c>
      <c r="AL119" t="s">
        <v>228</v>
      </c>
      <c r="AR119" t="b">
        <v>0</v>
      </c>
      <c r="AS119">
        <v>5467</v>
      </c>
      <c r="AU119">
        <v>82.266639999999995</v>
      </c>
      <c r="BU119">
        <v>1.2666409999999999</v>
      </c>
      <c r="CI119">
        <v>80.266639999999995</v>
      </c>
      <c r="CU119">
        <v>29.266639999999999</v>
      </c>
      <c r="EH119" s="3">
        <f t="shared" si="3"/>
        <v>4.1666666666666664E-2</v>
      </c>
    </row>
    <row r="120" spans="1:138" x14ac:dyDescent="0.25">
      <c r="A120" s="1">
        <v>3404</v>
      </c>
      <c r="B120" t="s">
        <v>237</v>
      </c>
      <c r="C120" t="s">
        <v>208</v>
      </c>
      <c r="G120">
        <v>598.6078</v>
      </c>
      <c r="H120">
        <v>0.36499999999999999</v>
      </c>
      <c r="I120" t="s">
        <v>341</v>
      </c>
      <c r="K120" t="s">
        <v>239</v>
      </c>
      <c r="L120" t="s">
        <v>137</v>
      </c>
      <c r="M120">
        <v>25.137</v>
      </c>
      <c r="N120">
        <v>185.56</v>
      </c>
      <c r="O120">
        <v>-1</v>
      </c>
      <c r="P120">
        <v>1</v>
      </c>
      <c r="Q120">
        <v>33</v>
      </c>
      <c r="R120">
        <v>98.7</v>
      </c>
      <c r="T120" t="b">
        <v>0</v>
      </c>
      <c r="U120" t="s">
        <v>240</v>
      </c>
      <c r="V120">
        <v>599</v>
      </c>
      <c r="W120">
        <v>-0.39220000000000299</v>
      </c>
      <c r="X120">
        <v>598.64603624071003</v>
      </c>
      <c r="Y120">
        <v>599</v>
      </c>
      <c r="Z120">
        <v>-0.353963759290082</v>
      </c>
      <c r="AA120">
        <v>13</v>
      </c>
      <c r="AB120">
        <v>6</v>
      </c>
      <c r="AC120">
        <v>3</v>
      </c>
      <c r="AD120" t="b">
        <v>0</v>
      </c>
      <c r="AE120" t="s">
        <v>142</v>
      </c>
      <c r="AF120" t="s">
        <v>143</v>
      </c>
      <c r="AG120" t="b">
        <v>0</v>
      </c>
      <c r="AH120" t="b">
        <v>1</v>
      </c>
      <c r="AI120" t="b">
        <v>1</v>
      </c>
      <c r="AJ120" t="b">
        <v>0</v>
      </c>
      <c r="AK120" t="s">
        <v>237</v>
      </c>
      <c r="AL120" t="s">
        <v>239</v>
      </c>
      <c r="AR120" t="b">
        <v>0</v>
      </c>
      <c r="AS120">
        <v>3404</v>
      </c>
      <c r="CB120">
        <v>62.999000000000002</v>
      </c>
      <c r="CW120">
        <v>146.999</v>
      </c>
      <c r="DH120">
        <v>140.999</v>
      </c>
      <c r="EH120" s="3">
        <f t="shared" si="3"/>
        <v>3.125E-2</v>
      </c>
    </row>
    <row r="121" spans="1:138" x14ac:dyDescent="0.25">
      <c r="A121" s="1">
        <v>5218</v>
      </c>
      <c r="B121" t="s">
        <v>237</v>
      </c>
      <c r="C121" t="s">
        <v>208</v>
      </c>
      <c r="G121">
        <v>674.596</v>
      </c>
      <c r="H121">
        <v>0.36799999999999999</v>
      </c>
      <c r="I121" t="s">
        <v>341</v>
      </c>
      <c r="K121" t="s">
        <v>239</v>
      </c>
      <c r="L121" t="s">
        <v>137</v>
      </c>
      <c r="M121">
        <v>26.878</v>
      </c>
      <c r="N121">
        <v>197.97</v>
      </c>
      <c r="O121">
        <v>-1</v>
      </c>
      <c r="P121">
        <v>1</v>
      </c>
      <c r="Q121">
        <v>19</v>
      </c>
      <c r="R121">
        <v>98</v>
      </c>
      <c r="T121" t="b">
        <v>0</v>
      </c>
      <c r="U121" t="s">
        <v>240</v>
      </c>
      <c r="V121">
        <v>675</v>
      </c>
      <c r="W121">
        <v>-0.40399999999999597</v>
      </c>
      <c r="X121">
        <v>674.63909000824594</v>
      </c>
      <c r="Y121">
        <v>675</v>
      </c>
      <c r="Z121">
        <v>-0.36090999175428401</v>
      </c>
      <c r="AA121">
        <v>12</v>
      </c>
      <c r="AB121">
        <v>6</v>
      </c>
      <c r="AC121">
        <v>3</v>
      </c>
      <c r="AD121" t="b">
        <v>0</v>
      </c>
      <c r="AE121" t="s">
        <v>142</v>
      </c>
      <c r="AF121" t="s">
        <v>143</v>
      </c>
      <c r="AG121" t="b">
        <v>0</v>
      </c>
      <c r="AH121" t="b">
        <v>1</v>
      </c>
      <c r="AI121" t="b">
        <v>1</v>
      </c>
      <c r="AJ121" t="b">
        <v>0</v>
      </c>
      <c r="AK121" t="s">
        <v>237</v>
      </c>
      <c r="AL121" t="s">
        <v>239</v>
      </c>
      <c r="AR121" t="b">
        <v>0</v>
      </c>
      <c r="AS121">
        <v>5218</v>
      </c>
      <c r="AW121">
        <v>102.00060000000001</v>
      </c>
      <c r="BQ121">
        <v>45.000610000000002</v>
      </c>
      <c r="BX121">
        <v>45.000610000000002</v>
      </c>
      <c r="EH121" s="3">
        <f t="shared" si="3"/>
        <v>3.125E-2</v>
      </c>
    </row>
    <row r="122" spans="1:138" x14ac:dyDescent="0.25">
      <c r="A122" s="1">
        <v>7595</v>
      </c>
      <c r="B122" t="s">
        <v>237</v>
      </c>
      <c r="C122" t="s">
        <v>248</v>
      </c>
      <c r="G122">
        <v>437.03550000000001</v>
      </c>
      <c r="H122">
        <v>0.39700000000000002</v>
      </c>
      <c r="I122" t="s">
        <v>341</v>
      </c>
      <c r="K122" t="s">
        <v>239</v>
      </c>
      <c r="L122" t="s">
        <v>137</v>
      </c>
      <c r="M122">
        <v>25.327000000000002</v>
      </c>
      <c r="N122">
        <v>188.46</v>
      </c>
      <c r="O122">
        <v>-1</v>
      </c>
      <c r="P122">
        <v>1</v>
      </c>
      <c r="Q122">
        <v>12</v>
      </c>
      <c r="R122">
        <v>95.8</v>
      </c>
      <c r="T122" t="b">
        <v>0</v>
      </c>
      <c r="U122" t="s">
        <v>240</v>
      </c>
      <c r="V122">
        <v>437</v>
      </c>
      <c r="W122">
        <v>3.5500000000013202E-2</v>
      </c>
      <c r="X122">
        <v>437.06341576484101</v>
      </c>
      <c r="Y122">
        <v>437</v>
      </c>
      <c r="Z122">
        <v>6.3415764841010996E-2</v>
      </c>
      <c r="AA122">
        <v>40</v>
      </c>
      <c r="AB122">
        <v>16</v>
      </c>
      <c r="AC122">
        <v>3</v>
      </c>
      <c r="AD122" t="b">
        <v>1</v>
      </c>
      <c r="AE122" t="s">
        <v>212</v>
      </c>
      <c r="AF122" t="s">
        <v>143</v>
      </c>
      <c r="AG122" t="b">
        <v>0</v>
      </c>
      <c r="AH122" t="b">
        <v>1</v>
      </c>
      <c r="AI122" t="b">
        <v>1</v>
      </c>
      <c r="AJ122" t="b">
        <v>0</v>
      </c>
      <c r="AK122" t="s">
        <v>237</v>
      </c>
      <c r="AL122" t="s">
        <v>239</v>
      </c>
      <c r="AR122" t="b">
        <v>0</v>
      </c>
      <c r="AS122">
        <v>7595</v>
      </c>
      <c r="BI122">
        <v>75.582650000000001</v>
      </c>
      <c r="CI122">
        <v>22.582650000000001</v>
      </c>
      <c r="ED122">
        <v>7.5826539999999998</v>
      </c>
      <c r="EH122" s="3">
        <f t="shared" si="3"/>
        <v>3.125E-2</v>
      </c>
    </row>
    <row r="123" spans="1:138" x14ac:dyDescent="0.25">
      <c r="A123" s="1">
        <v>4091</v>
      </c>
      <c r="B123" t="s">
        <v>237</v>
      </c>
      <c r="C123" t="s">
        <v>226</v>
      </c>
      <c r="G123">
        <v>589.00699999999995</v>
      </c>
      <c r="H123">
        <v>0.39800000000000002</v>
      </c>
      <c r="I123" t="s">
        <v>341</v>
      </c>
      <c r="K123" t="s">
        <v>239</v>
      </c>
      <c r="L123" t="s">
        <v>137</v>
      </c>
      <c r="M123">
        <v>28.942</v>
      </c>
      <c r="N123">
        <v>213.73</v>
      </c>
      <c r="O123">
        <v>-1</v>
      </c>
      <c r="P123">
        <v>1</v>
      </c>
      <c r="Q123">
        <v>21</v>
      </c>
      <c r="R123">
        <v>90.9</v>
      </c>
      <c r="T123" t="b">
        <v>0</v>
      </c>
      <c r="U123" t="s">
        <v>240</v>
      </c>
      <c r="V123">
        <v>589</v>
      </c>
      <c r="W123">
        <v>6.9999999999480998E-3</v>
      </c>
      <c r="X123">
        <v>589.04462298692397</v>
      </c>
      <c r="Y123">
        <v>589</v>
      </c>
      <c r="Z123">
        <v>4.4622986923627601E-2</v>
      </c>
      <c r="AA123">
        <v>40</v>
      </c>
      <c r="AB123">
        <v>15</v>
      </c>
      <c r="AC123">
        <v>3</v>
      </c>
      <c r="AD123" t="b">
        <v>1</v>
      </c>
      <c r="AE123" t="s">
        <v>212</v>
      </c>
      <c r="AF123" t="s">
        <v>143</v>
      </c>
      <c r="AG123" t="b">
        <v>0</v>
      </c>
      <c r="AH123" t="b">
        <v>1</v>
      </c>
      <c r="AI123" t="b">
        <v>1</v>
      </c>
      <c r="AJ123" t="b">
        <v>0</v>
      </c>
      <c r="AK123" t="s">
        <v>237</v>
      </c>
      <c r="AL123" t="s">
        <v>239</v>
      </c>
      <c r="AR123" t="b">
        <v>0</v>
      </c>
      <c r="AS123">
        <v>4091</v>
      </c>
      <c r="AT123">
        <v>225.999</v>
      </c>
      <c r="DG123">
        <v>318.99900000000002</v>
      </c>
      <c r="DQ123">
        <v>212.999</v>
      </c>
      <c r="EH123" s="3">
        <f t="shared" si="3"/>
        <v>3.125E-2</v>
      </c>
    </row>
    <row r="124" spans="1:138" x14ac:dyDescent="0.25">
      <c r="A124" s="1">
        <v>4500</v>
      </c>
      <c r="B124" t="s">
        <v>237</v>
      </c>
      <c r="C124" t="s">
        <v>189</v>
      </c>
      <c r="G124">
        <v>654.97699999999998</v>
      </c>
      <c r="H124">
        <v>0.40100000000000002</v>
      </c>
      <c r="I124" t="s">
        <v>341</v>
      </c>
      <c r="K124" t="s">
        <v>239</v>
      </c>
      <c r="L124" t="s">
        <v>137</v>
      </c>
      <c r="M124">
        <v>30.18</v>
      </c>
      <c r="N124">
        <v>222.33</v>
      </c>
      <c r="O124">
        <v>-1</v>
      </c>
      <c r="P124">
        <v>1</v>
      </c>
      <c r="Q124">
        <v>30</v>
      </c>
      <c r="R124">
        <v>86.8</v>
      </c>
      <c r="T124" t="b">
        <v>0</v>
      </c>
      <c r="U124" t="s">
        <v>240</v>
      </c>
      <c r="V124">
        <v>655</v>
      </c>
      <c r="W124">
        <v>-2.3000000000024601E-2</v>
      </c>
      <c r="X124">
        <v>655.01883683913104</v>
      </c>
      <c r="Y124">
        <v>655</v>
      </c>
      <c r="Z124">
        <v>1.8836839131495298E-2</v>
      </c>
      <c r="AA124">
        <v>33</v>
      </c>
      <c r="AB124">
        <v>8</v>
      </c>
      <c r="AC124">
        <v>3</v>
      </c>
      <c r="AD124" t="b">
        <v>1</v>
      </c>
      <c r="AE124" t="s">
        <v>212</v>
      </c>
      <c r="AF124" t="s">
        <v>143</v>
      </c>
      <c r="AG124" t="b">
        <v>0</v>
      </c>
      <c r="AH124" t="b">
        <v>1</v>
      </c>
      <c r="AI124" t="b">
        <v>1</v>
      </c>
      <c r="AJ124" t="b">
        <v>0</v>
      </c>
      <c r="AK124" t="s">
        <v>237</v>
      </c>
      <c r="AL124" t="s">
        <v>239</v>
      </c>
      <c r="AR124" t="b">
        <v>0</v>
      </c>
      <c r="AS124">
        <v>4500</v>
      </c>
      <c r="BF124">
        <v>51.696759999999998</v>
      </c>
      <c r="CK124">
        <v>98.696759999999998</v>
      </c>
      <c r="DB124">
        <v>23.696760000000001</v>
      </c>
      <c r="EH124" s="3">
        <f t="shared" si="3"/>
        <v>3.125E-2</v>
      </c>
    </row>
    <row r="125" spans="1:138" x14ac:dyDescent="0.25">
      <c r="A125" s="1">
        <v>7660</v>
      </c>
      <c r="B125" t="s">
        <v>237</v>
      </c>
      <c r="C125" t="s">
        <v>193</v>
      </c>
      <c r="G125">
        <v>572.96669999999995</v>
      </c>
      <c r="H125">
        <v>0.40200000000000002</v>
      </c>
      <c r="I125" t="s">
        <v>341</v>
      </c>
      <c r="K125" t="s">
        <v>239</v>
      </c>
      <c r="L125" t="s">
        <v>137</v>
      </c>
      <c r="M125">
        <v>28.398</v>
      </c>
      <c r="N125">
        <v>209.95</v>
      </c>
      <c r="O125">
        <v>-1</v>
      </c>
      <c r="P125">
        <v>1</v>
      </c>
      <c r="Q125">
        <v>13</v>
      </c>
      <c r="R125">
        <v>90</v>
      </c>
      <c r="T125" t="b">
        <v>0</v>
      </c>
      <c r="U125" t="s">
        <v>240</v>
      </c>
      <c r="V125">
        <v>573</v>
      </c>
      <c r="W125">
        <v>-3.33000000000538E-2</v>
      </c>
      <c r="X125">
        <v>573.00329840827305</v>
      </c>
      <c r="Y125">
        <v>573</v>
      </c>
      <c r="Z125">
        <v>3.2984082732809001E-3</v>
      </c>
      <c r="AA125">
        <v>36</v>
      </c>
      <c r="AB125">
        <v>19</v>
      </c>
      <c r="AC125">
        <v>3</v>
      </c>
      <c r="AD125" t="b">
        <v>1</v>
      </c>
      <c r="AE125" t="s">
        <v>212</v>
      </c>
      <c r="AF125" t="s">
        <v>143</v>
      </c>
      <c r="AG125" t="b">
        <v>0</v>
      </c>
      <c r="AH125" t="b">
        <v>1</v>
      </c>
      <c r="AI125" t="b">
        <v>1</v>
      </c>
      <c r="AJ125" t="b">
        <v>0</v>
      </c>
      <c r="AK125" t="s">
        <v>237</v>
      </c>
      <c r="AL125" t="s">
        <v>239</v>
      </c>
      <c r="AR125" t="b">
        <v>0</v>
      </c>
      <c r="AS125">
        <v>7660</v>
      </c>
      <c r="BH125">
        <v>36.658949999999997</v>
      </c>
      <c r="CL125">
        <v>9.6589460000000003</v>
      </c>
      <c r="DO125">
        <v>25.658950000000001</v>
      </c>
      <c r="EH125" s="3">
        <f t="shared" si="3"/>
        <v>3.125E-2</v>
      </c>
    </row>
    <row r="126" spans="1:138" x14ac:dyDescent="0.25">
      <c r="A126" s="1">
        <v>6846</v>
      </c>
      <c r="B126" t="s">
        <v>237</v>
      </c>
      <c r="C126" t="s">
        <v>322</v>
      </c>
      <c r="G126">
        <v>200.06229999999999</v>
      </c>
      <c r="H126">
        <v>0.47499999999999998</v>
      </c>
      <c r="I126" t="s">
        <v>341</v>
      </c>
      <c r="K126" t="s">
        <v>239</v>
      </c>
      <c r="L126" t="s">
        <v>137</v>
      </c>
      <c r="M126">
        <v>18.009</v>
      </c>
      <c r="N126">
        <v>138.75</v>
      </c>
      <c r="O126">
        <v>-1</v>
      </c>
      <c r="P126">
        <v>1</v>
      </c>
      <c r="Q126">
        <v>17</v>
      </c>
      <c r="R126">
        <v>99.9</v>
      </c>
      <c r="T126" t="b">
        <v>0</v>
      </c>
      <c r="U126" t="s">
        <v>240</v>
      </c>
      <c r="V126">
        <v>200</v>
      </c>
      <c r="W126">
        <v>6.2299999999993402E-2</v>
      </c>
      <c r="X126">
        <v>200.075079035388</v>
      </c>
      <c r="Y126">
        <v>200</v>
      </c>
      <c r="Z126">
        <v>7.5079035388085899E-2</v>
      </c>
      <c r="AA126">
        <v>45</v>
      </c>
      <c r="AB126">
        <v>28</v>
      </c>
      <c r="AC126">
        <v>3</v>
      </c>
      <c r="AD126" t="b">
        <v>1</v>
      </c>
      <c r="AE126" t="s">
        <v>142</v>
      </c>
      <c r="AF126" t="s">
        <v>143</v>
      </c>
      <c r="AG126" t="b">
        <v>0</v>
      </c>
      <c r="AH126" t="b">
        <v>1</v>
      </c>
      <c r="AI126" t="b">
        <v>1</v>
      </c>
      <c r="AJ126" t="b">
        <v>0</v>
      </c>
      <c r="AK126" t="s">
        <v>237</v>
      </c>
      <c r="AL126" t="s">
        <v>239</v>
      </c>
      <c r="AR126" t="b">
        <v>0</v>
      </c>
      <c r="AS126">
        <v>6846</v>
      </c>
      <c r="CI126">
        <v>28.848690000000001</v>
      </c>
      <c r="CV126">
        <v>25.848690000000001</v>
      </c>
      <c r="DD126">
        <v>62.848689999999998</v>
      </c>
      <c r="EH126" s="3">
        <f t="shared" si="3"/>
        <v>3.125E-2</v>
      </c>
    </row>
    <row r="127" spans="1:138" x14ac:dyDescent="0.25">
      <c r="A127" s="1">
        <v>7845</v>
      </c>
      <c r="B127" t="s">
        <v>237</v>
      </c>
      <c r="C127" t="s">
        <v>322</v>
      </c>
      <c r="G127">
        <v>201.06030000000001</v>
      </c>
      <c r="H127">
        <v>0.747</v>
      </c>
      <c r="I127" t="s">
        <v>341</v>
      </c>
      <c r="K127" t="s">
        <v>239</v>
      </c>
      <c r="L127" t="s">
        <v>137</v>
      </c>
      <c r="M127">
        <v>18.004000000000001</v>
      </c>
      <c r="N127">
        <v>138.71</v>
      </c>
      <c r="O127">
        <v>-1</v>
      </c>
      <c r="P127">
        <v>1</v>
      </c>
      <c r="Q127">
        <v>11</v>
      </c>
      <c r="R127">
        <v>91.1</v>
      </c>
      <c r="T127" t="b">
        <v>0</v>
      </c>
      <c r="U127" t="s">
        <v>240</v>
      </c>
      <c r="V127">
        <v>201</v>
      </c>
      <c r="W127">
        <v>6.0300000000012198E-2</v>
      </c>
      <c r="X127">
        <v>201.07314278291699</v>
      </c>
      <c r="Y127">
        <v>201</v>
      </c>
      <c r="Z127">
        <v>7.3142782917329896E-2</v>
      </c>
      <c r="AA127">
        <v>41</v>
      </c>
      <c r="AB127">
        <v>28</v>
      </c>
      <c r="AC127">
        <v>3</v>
      </c>
      <c r="AD127" t="b">
        <v>1</v>
      </c>
      <c r="AE127" t="s">
        <v>142</v>
      </c>
      <c r="AF127" t="s">
        <v>143</v>
      </c>
      <c r="AG127" t="b">
        <v>0</v>
      </c>
      <c r="AH127" t="b">
        <v>1</v>
      </c>
      <c r="AI127" t="b">
        <v>1</v>
      </c>
      <c r="AJ127" t="b">
        <v>0</v>
      </c>
      <c r="AK127" t="s">
        <v>237</v>
      </c>
      <c r="AL127" t="s">
        <v>239</v>
      </c>
      <c r="AR127" t="b">
        <v>0</v>
      </c>
      <c r="AS127">
        <v>7845</v>
      </c>
      <c r="AX127">
        <v>79.266639999999995</v>
      </c>
      <c r="CC127">
        <v>27.266639999999999</v>
      </c>
      <c r="CI127">
        <v>4.2666409999999999</v>
      </c>
      <c r="EH127" s="3">
        <f t="shared" si="3"/>
        <v>3.125E-2</v>
      </c>
    </row>
    <row r="128" spans="1:138" x14ac:dyDescent="0.25">
      <c r="A128" s="1">
        <v>3818</v>
      </c>
      <c r="B128" t="s">
        <v>237</v>
      </c>
      <c r="C128" t="s">
        <v>248</v>
      </c>
      <c r="G128">
        <v>231.0496</v>
      </c>
      <c r="H128">
        <v>0.4</v>
      </c>
      <c r="I128" t="s">
        <v>341</v>
      </c>
      <c r="K128" t="s">
        <v>239</v>
      </c>
      <c r="L128" t="s">
        <v>137</v>
      </c>
      <c r="M128">
        <v>19.364000000000001</v>
      </c>
      <c r="N128">
        <v>147.93</v>
      </c>
      <c r="O128">
        <v>-1</v>
      </c>
      <c r="P128">
        <v>1</v>
      </c>
      <c r="Q128">
        <v>27</v>
      </c>
      <c r="R128">
        <v>98.7</v>
      </c>
      <c r="T128" t="b">
        <v>0</v>
      </c>
      <c r="U128" t="s">
        <v>240</v>
      </c>
      <c r="V128">
        <v>231</v>
      </c>
      <c r="W128">
        <v>4.9599999999998097E-2</v>
      </c>
      <c r="X128">
        <v>231.064358357846</v>
      </c>
      <c r="Y128">
        <v>231</v>
      </c>
      <c r="Z128">
        <v>6.4358357845549094E-2</v>
      </c>
      <c r="AA128">
        <v>43</v>
      </c>
      <c r="AB128">
        <v>16</v>
      </c>
      <c r="AC128">
        <v>3</v>
      </c>
      <c r="AD128" t="b">
        <v>1</v>
      </c>
      <c r="AE128" t="s">
        <v>142</v>
      </c>
      <c r="AF128" t="s">
        <v>143</v>
      </c>
      <c r="AG128" t="b">
        <v>0</v>
      </c>
      <c r="AH128" t="b">
        <v>1</v>
      </c>
      <c r="AI128" t="b">
        <v>1</v>
      </c>
      <c r="AJ128" t="b">
        <v>0</v>
      </c>
      <c r="AK128" t="s">
        <v>237</v>
      </c>
      <c r="AL128" t="s">
        <v>239</v>
      </c>
      <c r="AR128" t="b">
        <v>0</v>
      </c>
      <c r="AS128">
        <v>3818</v>
      </c>
      <c r="BQ128">
        <v>111.999</v>
      </c>
      <c r="CR128">
        <v>103.999</v>
      </c>
      <c r="EH128" s="3">
        <f t="shared" si="3"/>
        <v>2.0833333333333332E-2</v>
      </c>
    </row>
    <row r="129" spans="1:138" x14ac:dyDescent="0.25">
      <c r="A129" s="1">
        <v>3537</v>
      </c>
      <c r="B129" t="s">
        <v>237</v>
      </c>
      <c r="C129" t="s">
        <v>317</v>
      </c>
      <c r="G129">
        <v>201.0573</v>
      </c>
      <c r="H129">
        <v>0.73499999999999999</v>
      </c>
      <c r="I129" t="s">
        <v>341</v>
      </c>
      <c r="K129" t="s">
        <v>239</v>
      </c>
      <c r="L129" t="s">
        <v>137</v>
      </c>
      <c r="M129">
        <v>18.041</v>
      </c>
      <c r="N129">
        <v>138.99</v>
      </c>
      <c r="O129">
        <v>-1</v>
      </c>
      <c r="P129">
        <v>1</v>
      </c>
      <c r="Q129">
        <v>30</v>
      </c>
      <c r="R129">
        <v>99.7</v>
      </c>
      <c r="T129" t="b">
        <v>0</v>
      </c>
      <c r="U129" t="s">
        <v>240</v>
      </c>
      <c r="V129">
        <v>201</v>
      </c>
      <c r="W129">
        <v>5.7299999999997901E-2</v>
      </c>
      <c r="X129">
        <v>201.07014259129099</v>
      </c>
      <c r="Y129">
        <v>201</v>
      </c>
      <c r="Z129">
        <v>7.0142591291471504E-2</v>
      </c>
      <c r="AA129">
        <v>46</v>
      </c>
      <c r="AB129">
        <v>36</v>
      </c>
      <c r="AC129">
        <v>3</v>
      </c>
      <c r="AD129" t="b">
        <v>1</v>
      </c>
      <c r="AE129" t="s">
        <v>142</v>
      </c>
      <c r="AF129" t="s">
        <v>143</v>
      </c>
      <c r="AG129" t="b">
        <v>0</v>
      </c>
      <c r="AH129" t="b">
        <v>1</v>
      </c>
      <c r="AI129" t="b">
        <v>1</v>
      </c>
      <c r="AJ129" t="b">
        <v>0</v>
      </c>
      <c r="AK129" t="s">
        <v>237</v>
      </c>
      <c r="AL129" t="s">
        <v>239</v>
      </c>
      <c r="AR129" t="b">
        <v>0</v>
      </c>
      <c r="AS129">
        <v>3537</v>
      </c>
      <c r="CW129">
        <v>31.672429999999999</v>
      </c>
      <c r="CY129">
        <v>1.672431</v>
      </c>
      <c r="EH129" s="3">
        <f t="shared" si="3"/>
        <v>2.0833333333333332E-2</v>
      </c>
    </row>
    <row r="130" spans="1:138" x14ac:dyDescent="0.25">
      <c r="A130" s="1">
        <v>7689</v>
      </c>
      <c r="B130" t="s">
        <v>237</v>
      </c>
      <c r="C130" t="s">
        <v>321</v>
      </c>
      <c r="G130">
        <v>201.0556</v>
      </c>
      <c r="H130">
        <v>0.95099999999999996</v>
      </c>
      <c r="I130" t="s">
        <v>341</v>
      </c>
      <c r="K130" t="s">
        <v>239</v>
      </c>
      <c r="L130" t="s">
        <v>137</v>
      </c>
      <c r="M130">
        <v>18.042000000000002</v>
      </c>
      <c r="N130">
        <v>138.97999999999999</v>
      </c>
      <c r="O130">
        <v>-1</v>
      </c>
      <c r="P130">
        <v>1</v>
      </c>
      <c r="Q130">
        <v>15</v>
      </c>
      <c r="R130">
        <v>87.8</v>
      </c>
      <c r="T130" t="b">
        <v>0</v>
      </c>
      <c r="U130" t="s">
        <v>240</v>
      </c>
      <c r="V130">
        <v>201</v>
      </c>
      <c r="W130">
        <v>5.5599999999998297E-2</v>
      </c>
      <c r="X130">
        <v>201.068442482704</v>
      </c>
      <c r="Y130">
        <v>201</v>
      </c>
      <c r="Z130">
        <v>6.8442482703517299E-2</v>
      </c>
      <c r="AA130">
        <v>44</v>
      </c>
      <c r="AB130">
        <v>46</v>
      </c>
      <c r="AC130">
        <v>3</v>
      </c>
      <c r="AD130" t="b">
        <v>1</v>
      </c>
      <c r="AE130" t="s">
        <v>142</v>
      </c>
      <c r="AF130" t="s">
        <v>143</v>
      </c>
      <c r="AG130" t="b">
        <v>0</v>
      </c>
      <c r="AH130" t="b">
        <v>1</v>
      </c>
      <c r="AI130" t="b">
        <v>1</v>
      </c>
      <c r="AJ130" t="b">
        <v>0</v>
      </c>
      <c r="AK130" t="s">
        <v>237</v>
      </c>
      <c r="AL130" t="s">
        <v>239</v>
      </c>
      <c r="AR130" t="b">
        <v>0</v>
      </c>
      <c r="AS130">
        <v>7689</v>
      </c>
      <c r="BG130">
        <v>15.15253</v>
      </c>
      <c r="BJ130">
        <v>15.15253</v>
      </c>
      <c r="EH130" s="3">
        <f t="shared" ref="EH130:EH150" si="4">COUNT(AT130:EG130)/96</f>
        <v>2.0833333333333332E-2</v>
      </c>
    </row>
    <row r="131" spans="1:138" x14ac:dyDescent="0.25">
      <c r="A131" s="1">
        <v>7471</v>
      </c>
      <c r="B131" t="s">
        <v>237</v>
      </c>
      <c r="C131" t="s">
        <v>307</v>
      </c>
      <c r="G131">
        <v>187.04300000000001</v>
      </c>
      <c r="H131">
        <v>1.4830000000000001</v>
      </c>
      <c r="I131" t="s">
        <v>341</v>
      </c>
      <c r="K131" t="s">
        <v>239</v>
      </c>
      <c r="L131" t="s">
        <v>137</v>
      </c>
      <c r="M131">
        <v>17.204999999999998</v>
      </c>
      <c r="N131">
        <v>133.07</v>
      </c>
      <c r="O131">
        <v>-1</v>
      </c>
      <c r="P131">
        <v>1</v>
      </c>
      <c r="Q131">
        <v>21</v>
      </c>
      <c r="R131">
        <v>94.5</v>
      </c>
      <c r="T131" t="b">
        <v>0</v>
      </c>
      <c r="U131" t="s">
        <v>240</v>
      </c>
      <c r="V131">
        <v>187</v>
      </c>
      <c r="W131">
        <v>4.3000000000006401E-2</v>
      </c>
      <c r="X131">
        <v>187.054947423958</v>
      </c>
      <c r="Y131">
        <v>187</v>
      </c>
      <c r="Z131">
        <v>5.4947423957912599E-2</v>
      </c>
      <c r="AA131">
        <v>43</v>
      </c>
      <c r="AB131">
        <v>24</v>
      </c>
      <c r="AC131">
        <v>4</v>
      </c>
      <c r="AD131" t="b">
        <v>1</v>
      </c>
      <c r="AE131" t="s">
        <v>142</v>
      </c>
      <c r="AF131" t="s">
        <v>143</v>
      </c>
      <c r="AG131" t="b">
        <v>0</v>
      </c>
      <c r="AH131" t="b">
        <v>1</v>
      </c>
      <c r="AI131" t="b">
        <v>1</v>
      </c>
      <c r="AJ131" t="b">
        <v>0</v>
      </c>
      <c r="AK131" t="s">
        <v>237</v>
      </c>
      <c r="AL131" t="s">
        <v>239</v>
      </c>
      <c r="AR131" t="b">
        <v>0</v>
      </c>
      <c r="AS131">
        <v>7471</v>
      </c>
      <c r="CI131">
        <v>5.4435549999999999</v>
      </c>
      <c r="ED131">
        <v>1.4435549999999999</v>
      </c>
      <c r="EH131" s="3">
        <f t="shared" si="4"/>
        <v>2.0833333333333332E-2</v>
      </c>
    </row>
    <row r="132" spans="1:138" x14ac:dyDescent="0.25">
      <c r="A132" s="1">
        <v>6015</v>
      </c>
      <c r="B132" t="s">
        <v>237</v>
      </c>
      <c r="C132" t="s">
        <v>249</v>
      </c>
      <c r="G132">
        <v>1008.2582</v>
      </c>
      <c r="H132">
        <v>0.35699999999999998</v>
      </c>
      <c r="I132" t="s">
        <v>341</v>
      </c>
      <c r="K132" t="s">
        <v>239</v>
      </c>
      <c r="L132" t="s">
        <v>137</v>
      </c>
      <c r="M132">
        <v>24.346</v>
      </c>
      <c r="N132">
        <v>178.08</v>
      </c>
      <c r="O132">
        <v>-1</v>
      </c>
      <c r="P132">
        <v>3</v>
      </c>
      <c r="Q132">
        <v>20</v>
      </c>
      <c r="R132">
        <v>85.3</v>
      </c>
      <c r="T132" t="b">
        <v>0</v>
      </c>
      <c r="U132" t="s">
        <v>240</v>
      </c>
      <c r="V132">
        <v>1008</v>
      </c>
      <c r="W132">
        <v>0.25819999999998799</v>
      </c>
      <c r="X132">
        <v>1008.32260277463</v>
      </c>
      <c r="Y132">
        <v>1008</v>
      </c>
      <c r="Z132">
        <v>0.32260277462637499</v>
      </c>
      <c r="AA132">
        <v>56</v>
      </c>
      <c r="AB132">
        <v>21</v>
      </c>
      <c r="AC132">
        <v>3</v>
      </c>
      <c r="AD132" t="b">
        <v>0</v>
      </c>
      <c r="AE132" t="s">
        <v>212</v>
      </c>
      <c r="AF132" t="s">
        <v>165</v>
      </c>
      <c r="AG132" t="b">
        <v>0</v>
      </c>
      <c r="AH132" t="b">
        <v>1</v>
      </c>
      <c r="AI132" t="b">
        <v>1</v>
      </c>
      <c r="AJ132" t="b">
        <v>0</v>
      </c>
      <c r="AK132" t="s">
        <v>237</v>
      </c>
      <c r="AL132" t="s">
        <v>239</v>
      </c>
      <c r="AR132" t="b">
        <v>0</v>
      </c>
      <c r="AS132">
        <v>6015</v>
      </c>
      <c r="DW132">
        <v>18.6083</v>
      </c>
      <c r="EH132" s="3">
        <f t="shared" si="4"/>
        <v>1.0416666666666666E-2</v>
      </c>
    </row>
    <row r="133" spans="1:138" x14ac:dyDescent="0.25">
      <c r="A133" s="1">
        <v>6664</v>
      </c>
      <c r="B133" t="s">
        <v>237</v>
      </c>
      <c r="C133" t="s">
        <v>320</v>
      </c>
      <c r="G133">
        <v>949.30119999999999</v>
      </c>
      <c r="H133">
        <v>0.35899999999999999</v>
      </c>
      <c r="I133" t="s">
        <v>341</v>
      </c>
      <c r="K133" t="s">
        <v>239</v>
      </c>
      <c r="L133" t="s">
        <v>137</v>
      </c>
      <c r="M133">
        <v>24.097999999999999</v>
      </c>
      <c r="N133">
        <v>176.38</v>
      </c>
      <c r="O133">
        <v>-1</v>
      </c>
      <c r="P133">
        <v>3</v>
      </c>
      <c r="Q133">
        <v>17</v>
      </c>
      <c r="R133">
        <v>93.4</v>
      </c>
      <c r="T133" t="b">
        <v>0</v>
      </c>
      <c r="U133" t="s">
        <v>240</v>
      </c>
      <c r="V133">
        <v>949</v>
      </c>
      <c r="W133">
        <v>0.30119999999999397</v>
      </c>
      <c r="X133">
        <v>949.36183687975597</v>
      </c>
      <c r="Y133">
        <v>949</v>
      </c>
      <c r="Z133">
        <v>0.36183687975574202</v>
      </c>
      <c r="AA133">
        <v>70</v>
      </c>
      <c r="AB133">
        <v>48</v>
      </c>
      <c r="AC133">
        <v>3</v>
      </c>
      <c r="AD133" t="b">
        <v>0</v>
      </c>
      <c r="AE133" t="s">
        <v>212</v>
      </c>
      <c r="AF133" t="s">
        <v>165</v>
      </c>
      <c r="AG133" t="b">
        <v>0</v>
      </c>
      <c r="AH133" t="b">
        <v>1</v>
      </c>
      <c r="AI133" t="b">
        <v>1</v>
      </c>
      <c r="AJ133" t="b">
        <v>0</v>
      </c>
      <c r="AK133" t="s">
        <v>237</v>
      </c>
      <c r="AL133" t="s">
        <v>239</v>
      </c>
      <c r="AR133" t="b">
        <v>0</v>
      </c>
      <c r="AS133">
        <v>6664</v>
      </c>
      <c r="EB133">
        <v>99.998999999999995</v>
      </c>
      <c r="EH133" s="3">
        <f t="shared" si="4"/>
        <v>1.0416666666666666E-2</v>
      </c>
    </row>
    <row r="134" spans="1:138" x14ac:dyDescent="0.25">
      <c r="A134" s="1">
        <v>7901</v>
      </c>
      <c r="B134" t="s">
        <v>284</v>
      </c>
      <c r="C134" t="s">
        <v>307</v>
      </c>
      <c r="G134">
        <v>1153.1590000000001</v>
      </c>
      <c r="H134">
        <v>0.35899999999999999</v>
      </c>
      <c r="I134" t="s">
        <v>341</v>
      </c>
      <c r="K134" t="s">
        <v>286</v>
      </c>
      <c r="L134" t="s">
        <v>137</v>
      </c>
      <c r="M134">
        <v>25.434999999999999</v>
      </c>
      <c r="N134">
        <v>185.76</v>
      </c>
      <c r="O134">
        <v>-1</v>
      </c>
      <c r="P134">
        <v>3</v>
      </c>
      <c r="Q134">
        <v>15</v>
      </c>
      <c r="R134">
        <v>89.4</v>
      </c>
      <c r="T134" t="b">
        <v>0</v>
      </c>
      <c r="U134" t="s">
        <v>240</v>
      </c>
      <c r="V134">
        <v>1153</v>
      </c>
      <c r="W134">
        <v>0.159000000000106</v>
      </c>
      <c r="X134">
        <v>1153.2326583537699</v>
      </c>
      <c r="Y134">
        <v>1153</v>
      </c>
      <c r="Z134">
        <v>0.232658353768329</v>
      </c>
      <c r="AA134">
        <v>48</v>
      </c>
      <c r="AB134">
        <v>24</v>
      </c>
      <c r="AC134">
        <v>3</v>
      </c>
      <c r="AD134" t="b">
        <v>0</v>
      </c>
      <c r="AE134" t="s">
        <v>212</v>
      </c>
      <c r="AF134" t="s">
        <v>165</v>
      </c>
      <c r="AG134" t="b">
        <v>0</v>
      </c>
      <c r="AH134" t="b">
        <v>1</v>
      </c>
      <c r="AI134" t="b">
        <v>1</v>
      </c>
      <c r="AJ134" t="b">
        <v>0</v>
      </c>
      <c r="AK134" t="s">
        <v>284</v>
      </c>
      <c r="AL134" t="s">
        <v>286</v>
      </c>
      <c r="AR134" t="b">
        <v>0</v>
      </c>
      <c r="AS134">
        <v>7901</v>
      </c>
      <c r="BZ134">
        <v>33.886499999999998</v>
      </c>
      <c r="EH134" s="3">
        <f t="shared" si="4"/>
        <v>1.0416666666666666E-2</v>
      </c>
    </row>
    <row r="135" spans="1:138" x14ac:dyDescent="0.25">
      <c r="A135" s="1">
        <v>7207</v>
      </c>
      <c r="B135" t="s">
        <v>237</v>
      </c>
      <c r="C135" t="s">
        <v>208</v>
      </c>
      <c r="G135">
        <v>688.57889999999998</v>
      </c>
      <c r="H135">
        <v>0.36799999999999999</v>
      </c>
      <c r="I135" t="s">
        <v>341</v>
      </c>
      <c r="K135" t="s">
        <v>239</v>
      </c>
      <c r="L135" t="s">
        <v>137</v>
      </c>
      <c r="M135">
        <v>27.286999999999999</v>
      </c>
      <c r="N135">
        <v>200.83</v>
      </c>
      <c r="O135">
        <v>-1</v>
      </c>
      <c r="P135">
        <v>1</v>
      </c>
      <c r="Q135">
        <v>16</v>
      </c>
      <c r="R135">
        <v>97.7</v>
      </c>
      <c r="T135" t="b">
        <v>0</v>
      </c>
      <c r="U135" t="s">
        <v>240</v>
      </c>
      <c r="V135">
        <v>689</v>
      </c>
      <c r="W135">
        <v>-0.42110000000002401</v>
      </c>
      <c r="X135">
        <v>688.622883169896</v>
      </c>
      <c r="Y135">
        <v>689</v>
      </c>
      <c r="Z135">
        <v>-0.37711683010445501</v>
      </c>
      <c r="AA135">
        <v>10</v>
      </c>
      <c r="AB135">
        <v>6</v>
      </c>
      <c r="AC135">
        <v>3</v>
      </c>
      <c r="AD135" t="b">
        <v>0</v>
      </c>
      <c r="AE135" t="s">
        <v>142</v>
      </c>
      <c r="AF135" t="s">
        <v>143</v>
      </c>
      <c r="AG135" t="b">
        <v>0</v>
      </c>
      <c r="AH135" t="b">
        <v>1</v>
      </c>
      <c r="AI135" t="b">
        <v>1</v>
      </c>
      <c r="AJ135" t="b">
        <v>0</v>
      </c>
      <c r="AK135" t="s">
        <v>237</v>
      </c>
      <c r="AL135" t="s">
        <v>239</v>
      </c>
      <c r="AR135" t="b">
        <v>0</v>
      </c>
      <c r="AS135">
        <v>7207</v>
      </c>
      <c r="BJ135">
        <v>46.266640000000002</v>
      </c>
      <c r="EH135" s="3">
        <f t="shared" si="4"/>
        <v>1.0416666666666666E-2</v>
      </c>
    </row>
    <row r="136" spans="1:138" x14ac:dyDescent="0.25">
      <c r="A136" s="1">
        <v>80</v>
      </c>
      <c r="B136" t="s">
        <v>237</v>
      </c>
      <c r="C136" t="s">
        <v>248</v>
      </c>
      <c r="G136">
        <v>187.04339999999999</v>
      </c>
      <c r="H136">
        <v>0.376</v>
      </c>
      <c r="I136" t="s">
        <v>341</v>
      </c>
      <c r="K136" t="s">
        <v>239</v>
      </c>
      <c r="L136" t="s">
        <v>137</v>
      </c>
      <c r="M136">
        <v>17.190000000000001</v>
      </c>
      <c r="N136">
        <v>133</v>
      </c>
      <c r="O136">
        <v>-1</v>
      </c>
      <c r="P136">
        <v>3</v>
      </c>
      <c r="Q136">
        <v>88</v>
      </c>
      <c r="R136">
        <v>100</v>
      </c>
      <c r="T136" t="b">
        <v>0</v>
      </c>
      <c r="U136" t="s">
        <v>240</v>
      </c>
      <c r="V136">
        <v>187</v>
      </c>
      <c r="W136">
        <v>4.3399999999991203E-2</v>
      </c>
      <c r="X136">
        <v>187.05534744950799</v>
      </c>
      <c r="Y136">
        <v>187</v>
      </c>
      <c r="Z136">
        <v>5.5347449508019501E-2</v>
      </c>
      <c r="AA136">
        <v>40</v>
      </c>
      <c r="AB136">
        <v>16</v>
      </c>
      <c r="AC136">
        <v>3</v>
      </c>
      <c r="AD136" t="b">
        <v>1</v>
      </c>
      <c r="AE136" t="s">
        <v>142</v>
      </c>
      <c r="AF136" t="s">
        <v>143</v>
      </c>
      <c r="AG136" t="b">
        <v>0</v>
      </c>
      <c r="AH136" t="b">
        <v>1</v>
      </c>
      <c r="AI136" t="b">
        <v>1</v>
      </c>
      <c r="AJ136" t="b">
        <v>0</v>
      </c>
      <c r="AK136" t="s">
        <v>237</v>
      </c>
      <c r="AL136" t="s">
        <v>239</v>
      </c>
      <c r="AR136" t="b">
        <v>0</v>
      </c>
      <c r="AS136">
        <v>80</v>
      </c>
      <c r="BI136">
        <v>23657.19</v>
      </c>
      <c r="EH136" s="3">
        <f t="shared" si="4"/>
        <v>1.0416666666666666E-2</v>
      </c>
    </row>
    <row r="137" spans="1:138" x14ac:dyDescent="0.25">
      <c r="A137" s="1">
        <v>7370</v>
      </c>
      <c r="B137" t="s">
        <v>237</v>
      </c>
      <c r="C137" t="s">
        <v>208</v>
      </c>
      <c r="G137">
        <v>648.75980000000004</v>
      </c>
      <c r="H137">
        <v>0.378</v>
      </c>
      <c r="I137" t="s">
        <v>341</v>
      </c>
      <c r="K137" t="s">
        <v>239</v>
      </c>
      <c r="L137" t="s">
        <v>137</v>
      </c>
      <c r="M137">
        <v>27.337</v>
      </c>
      <c r="N137">
        <v>201.43</v>
      </c>
      <c r="O137">
        <v>-1</v>
      </c>
      <c r="P137">
        <v>1</v>
      </c>
      <c r="Q137">
        <v>15</v>
      </c>
      <c r="R137">
        <v>91.7</v>
      </c>
      <c r="T137" t="b">
        <v>0</v>
      </c>
      <c r="U137" t="s">
        <v>240</v>
      </c>
      <c r="V137">
        <v>649</v>
      </c>
      <c r="W137">
        <v>-0.240199999999959</v>
      </c>
      <c r="X137">
        <v>648.80123971374201</v>
      </c>
      <c r="Y137">
        <v>649</v>
      </c>
      <c r="Z137">
        <v>-0.198760286257993</v>
      </c>
      <c r="AA137">
        <v>23</v>
      </c>
      <c r="AB137">
        <v>6</v>
      </c>
      <c r="AC137">
        <v>3</v>
      </c>
      <c r="AD137" t="b">
        <v>0</v>
      </c>
      <c r="AE137" t="s">
        <v>142</v>
      </c>
      <c r="AF137" t="s">
        <v>143</v>
      </c>
      <c r="AG137" t="b">
        <v>0</v>
      </c>
      <c r="AH137" t="b">
        <v>1</v>
      </c>
      <c r="AI137" t="b">
        <v>1</v>
      </c>
      <c r="AJ137" t="b">
        <v>0</v>
      </c>
      <c r="AK137" t="s">
        <v>237</v>
      </c>
      <c r="AL137" t="s">
        <v>239</v>
      </c>
      <c r="AR137" t="b">
        <v>0</v>
      </c>
      <c r="AS137">
        <v>7370</v>
      </c>
      <c r="BS137">
        <v>49.507019999999997</v>
      </c>
      <c r="EH137" s="3">
        <f t="shared" si="4"/>
        <v>1.0416666666666666E-2</v>
      </c>
    </row>
    <row r="138" spans="1:138" x14ac:dyDescent="0.25">
      <c r="A138" s="1">
        <v>8410</v>
      </c>
      <c r="B138" t="s">
        <v>237</v>
      </c>
      <c r="C138" t="s">
        <v>208</v>
      </c>
      <c r="G138">
        <v>698.75699999999995</v>
      </c>
      <c r="H138">
        <v>0.38100000000000001</v>
      </c>
      <c r="I138" t="s">
        <v>341</v>
      </c>
      <c r="K138" t="s">
        <v>239</v>
      </c>
      <c r="L138" t="s">
        <v>137</v>
      </c>
      <c r="M138">
        <v>28.798999999999999</v>
      </c>
      <c r="N138">
        <v>211.94</v>
      </c>
      <c r="O138">
        <v>-1</v>
      </c>
      <c r="P138">
        <v>1</v>
      </c>
      <c r="Q138">
        <v>11</v>
      </c>
      <c r="R138">
        <v>53.4</v>
      </c>
      <c r="T138" t="b">
        <v>0</v>
      </c>
      <c r="U138" t="s">
        <v>240</v>
      </c>
      <c r="V138">
        <v>699</v>
      </c>
      <c r="W138">
        <v>-0.24300000000005201</v>
      </c>
      <c r="X138">
        <v>698.80163329888103</v>
      </c>
      <c r="Y138">
        <v>699</v>
      </c>
      <c r="Z138">
        <v>-0.19836670111931201</v>
      </c>
      <c r="AA138">
        <v>23</v>
      </c>
      <c r="AB138">
        <v>6</v>
      </c>
      <c r="AC138">
        <v>3</v>
      </c>
      <c r="AD138" t="b">
        <v>0</v>
      </c>
      <c r="AE138" t="s">
        <v>142</v>
      </c>
      <c r="AF138" t="s">
        <v>143</v>
      </c>
      <c r="AG138" t="b">
        <v>0</v>
      </c>
      <c r="AH138" t="b">
        <v>1</v>
      </c>
      <c r="AI138" t="b">
        <v>1</v>
      </c>
      <c r="AJ138" t="b">
        <v>0</v>
      </c>
      <c r="AK138" t="s">
        <v>237</v>
      </c>
      <c r="AL138" t="s">
        <v>239</v>
      </c>
      <c r="AR138" t="b">
        <v>0</v>
      </c>
      <c r="AS138">
        <v>8410</v>
      </c>
      <c r="BS138">
        <v>13.747400000000001</v>
      </c>
      <c r="EH138" s="3">
        <f t="shared" si="4"/>
        <v>1.0416666666666666E-2</v>
      </c>
    </row>
    <row r="139" spans="1:138" x14ac:dyDescent="0.25">
      <c r="A139" s="1">
        <v>1010</v>
      </c>
      <c r="B139" t="s">
        <v>225</v>
      </c>
      <c r="C139" t="s">
        <v>134</v>
      </c>
      <c r="G139">
        <v>562.96469999999999</v>
      </c>
      <c r="H139">
        <v>0.39200000000000002</v>
      </c>
      <c r="I139" t="s">
        <v>341</v>
      </c>
      <c r="K139" t="s">
        <v>228</v>
      </c>
      <c r="L139" t="s">
        <v>137</v>
      </c>
      <c r="M139">
        <v>27.76</v>
      </c>
      <c r="N139">
        <v>205.23</v>
      </c>
      <c r="O139">
        <v>-1</v>
      </c>
      <c r="P139">
        <v>4</v>
      </c>
      <c r="Q139">
        <v>48</v>
      </c>
      <c r="R139">
        <v>100</v>
      </c>
      <c r="T139" t="b">
        <v>0</v>
      </c>
      <c r="U139" t="s">
        <v>240</v>
      </c>
      <c r="V139">
        <v>563</v>
      </c>
      <c r="W139">
        <v>-3.53000000000065E-2</v>
      </c>
      <c r="X139">
        <v>563.00065952772502</v>
      </c>
      <c r="Y139">
        <v>563</v>
      </c>
      <c r="Z139">
        <v>6.5952772479239996E-4</v>
      </c>
      <c r="AA139">
        <v>38</v>
      </c>
      <c r="AB139">
        <v>11</v>
      </c>
      <c r="AC139">
        <v>4</v>
      </c>
      <c r="AD139" t="b">
        <v>1</v>
      </c>
      <c r="AE139" t="s">
        <v>212</v>
      </c>
      <c r="AF139" t="s">
        <v>143</v>
      </c>
      <c r="AG139" t="b">
        <v>0</v>
      </c>
      <c r="AH139" t="b">
        <v>1</v>
      </c>
      <c r="AI139" t="b">
        <v>1</v>
      </c>
      <c r="AJ139" t="b">
        <v>0</v>
      </c>
      <c r="AK139" t="s">
        <v>225</v>
      </c>
      <c r="AL139" t="s">
        <v>228</v>
      </c>
      <c r="AR139" t="b">
        <v>0</v>
      </c>
      <c r="AS139">
        <v>1010</v>
      </c>
      <c r="AW139">
        <v>171.36490000000001</v>
      </c>
      <c r="EH139" s="3">
        <f t="shared" si="4"/>
        <v>1.0416666666666666E-2</v>
      </c>
    </row>
    <row r="140" spans="1:138" x14ac:dyDescent="0.25">
      <c r="A140" s="1">
        <v>6715</v>
      </c>
      <c r="B140" t="s">
        <v>284</v>
      </c>
      <c r="C140" t="s">
        <v>316</v>
      </c>
      <c r="G140">
        <v>602.98360000000002</v>
      </c>
      <c r="H140">
        <v>0.39600000000000002</v>
      </c>
      <c r="I140" t="s">
        <v>341</v>
      </c>
      <c r="K140" t="s">
        <v>286</v>
      </c>
      <c r="L140" t="s">
        <v>137</v>
      </c>
      <c r="M140">
        <v>29.268999999999998</v>
      </c>
      <c r="N140">
        <v>216.04</v>
      </c>
      <c r="O140">
        <v>-1</v>
      </c>
      <c r="P140">
        <v>1</v>
      </c>
      <c r="Q140">
        <v>17</v>
      </c>
      <c r="R140">
        <v>62.2</v>
      </c>
      <c r="T140" t="b">
        <v>0</v>
      </c>
      <c r="U140" t="s">
        <v>240</v>
      </c>
      <c r="V140">
        <v>603</v>
      </c>
      <c r="W140">
        <v>-1.6399999999976E-2</v>
      </c>
      <c r="X140">
        <v>603.02211574615899</v>
      </c>
      <c r="Y140">
        <v>603</v>
      </c>
      <c r="Z140">
        <v>2.2115746159329298E-2</v>
      </c>
      <c r="AA140">
        <v>37</v>
      </c>
      <c r="AB140">
        <v>18</v>
      </c>
      <c r="AC140">
        <v>3</v>
      </c>
      <c r="AD140" t="b">
        <v>1</v>
      </c>
      <c r="AE140" t="s">
        <v>212</v>
      </c>
      <c r="AF140" t="s">
        <v>143</v>
      </c>
      <c r="AG140" t="b">
        <v>0</v>
      </c>
      <c r="AH140" t="b">
        <v>1</v>
      </c>
      <c r="AI140" t="b">
        <v>1</v>
      </c>
      <c r="AJ140" t="b">
        <v>0</v>
      </c>
      <c r="AK140" t="s">
        <v>284</v>
      </c>
      <c r="AL140" t="s">
        <v>286</v>
      </c>
      <c r="AR140" t="b">
        <v>0</v>
      </c>
      <c r="AS140">
        <v>6715</v>
      </c>
      <c r="CC140">
        <v>13.70959</v>
      </c>
      <c r="EH140" s="3">
        <f t="shared" si="4"/>
        <v>1.0416666666666666E-2</v>
      </c>
    </row>
    <row r="141" spans="1:138" x14ac:dyDescent="0.25">
      <c r="A141" s="1">
        <v>4619</v>
      </c>
      <c r="B141" t="s">
        <v>237</v>
      </c>
      <c r="C141" t="s">
        <v>318</v>
      </c>
      <c r="G141">
        <v>780.95939999999996</v>
      </c>
      <c r="H141">
        <v>0.4</v>
      </c>
      <c r="I141" t="s">
        <v>341</v>
      </c>
      <c r="K141" t="s">
        <v>239</v>
      </c>
      <c r="L141" t="s">
        <v>137</v>
      </c>
      <c r="M141">
        <v>32.36</v>
      </c>
      <c r="N141">
        <v>237.6</v>
      </c>
      <c r="O141">
        <v>-1</v>
      </c>
      <c r="P141">
        <v>1</v>
      </c>
      <c r="Q141">
        <v>30</v>
      </c>
      <c r="R141">
        <v>98.4</v>
      </c>
      <c r="T141" t="b">
        <v>0</v>
      </c>
      <c r="U141" t="s">
        <v>240</v>
      </c>
      <c r="V141">
        <v>781</v>
      </c>
      <c r="W141">
        <v>-4.0600000000040402E-2</v>
      </c>
      <c r="X141">
        <v>781.00928400017995</v>
      </c>
      <c r="Y141">
        <v>781</v>
      </c>
      <c r="Z141">
        <v>9.2840001801731999E-3</v>
      </c>
      <c r="AA141">
        <v>32</v>
      </c>
      <c r="AB141">
        <v>5</v>
      </c>
      <c r="AC141">
        <v>3</v>
      </c>
      <c r="AD141" t="b">
        <v>1</v>
      </c>
      <c r="AE141" t="s">
        <v>212</v>
      </c>
      <c r="AF141" t="s">
        <v>143</v>
      </c>
      <c r="AG141" t="b">
        <v>0</v>
      </c>
      <c r="AH141" t="b">
        <v>1</v>
      </c>
      <c r="AI141" t="b">
        <v>1</v>
      </c>
      <c r="AJ141" t="b">
        <v>0</v>
      </c>
      <c r="AK141" t="s">
        <v>237</v>
      </c>
      <c r="AL141" t="s">
        <v>239</v>
      </c>
      <c r="AR141" t="b">
        <v>0</v>
      </c>
      <c r="AS141">
        <v>4619</v>
      </c>
      <c r="BF141">
        <v>139.999</v>
      </c>
      <c r="EH141" s="3">
        <f t="shared" si="4"/>
        <v>1.0416666666666666E-2</v>
      </c>
    </row>
    <row r="142" spans="1:138" x14ac:dyDescent="0.25">
      <c r="A142" s="1">
        <v>7756</v>
      </c>
      <c r="B142" t="s">
        <v>237</v>
      </c>
      <c r="C142" t="s">
        <v>324</v>
      </c>
      <c r="G142">
        <v>200.05359999999999</v>
      </c>
      <c r="H142">
        <v>0.40200000000000002</v>
      </c>
      <c r="I142" t="s">
        <v>341</v>
      </c>
      <c r="K142" t="s">
        <v>239</v>
      </c>
      <c r="L142" t="s">
        <v>137</v>
      </c>
      <c r="M142">
        <v>18.53</v>
      </c>
      <c r="N142">
        <v>142.77000000000001</v>
      </c>
      <c r="O142">
        <v>-1</v>
      </c>
      <c r="P142">
        <v>1</v>
      </c>
      <c r="Q142">
        <v>11</v>
      </c>
      <c r="R142">
        <v>97.6</v>
      </c>
      <c r="T142" t="b">
        <v>0</v>
      </c>
      <c r="U142" t="s">
        <v>240</v>
      </c>
      <c r="V142">
        <v>200</v>
      </c>
      <c r="W142">
        <v>5.3599999999988802E-2</v>
      </c>
      <c r="X142">
        <v>200.06637847967301</v>
      </c>
      <c r="Y142">
        <v>200</v>
      </c>
      <c r="Z142">
        <v>6.6378479673147694E-2</v>
      </c>
      <c r="AA142">
        <v>45</v>
      </c>
      <c r="AB142">
        <v>29</v>
      </c>
      <c r="AC142">
        <v>3</v>
      </c>
      <c r="AD142" t="b">
        <v>1</v>
      </c>
      <c r="AE142" t="s">
        <v>142</v>
      </c>
      <c r="AF142" t="s">
        <v>143</v>
      </c>
      <c r="AG142" t="b">
        <v>0</v>
      </c>
      <c r="AH142" t="b">
        <v>1</v>
      </c>
      <c r="AI142" t="b">
        <v>1</v>
      </c>
      <c r="AJ142" t="b">
        <v>0</v>
      </c>
      <c r="AK142" t="s">
        <v>237</v>
      </c>
      <c r="AL142" t="s">
        <v>239</v>
      </c>
      <c r="AR142" t="b">
        <v>0</v>
      </c>
      <c r="AS142">
        <v>7756</v>
      </c>
      <c r="CE142">
        <v>44.532670000000003</v>
      </c>
      <c r="EH142" s="3">
        <f t="shared" si="4"/>
        <v>1.0416666666666666E-2</v>
      </c>
    </row>
    <row r="143" spans="1:138" x14ac:dyDescent="0.25">
      <c r="A143" s="1">
        <v>2497</v>
      </c>
      <c r="B143" t="s">
        <v>237</v>
      </c>
      <c r="C143" t="s">
        <v>189</v>
      </c>
      <c r="G143">
        <v>155.0043</v>
      </c>
      <c r="H143">
        <v>0.44</v>
      </c>
      <c r="I143" t="s">
        <v>341</v>
      </c>
      <c r="K143" t="s">
        <v>239</v>
      </c>
      <c r="L143" t="s">
        <v>137</v>
      </c>
      <c r="M143">
        <v>15.771000000000001</v>
      </c>
      <c r="N143">
        <v>123.65</v>
      </c>
      <c r="O143">
        <v>-1</v>
      </c>
      <c r="P143">
        <v>1</v>
      </c>
      <c r="Q143">
        <v>38</v>
      </c>
      <c r="R143">
        <v>98.5</v>
      </c>
      <c r="T143" t="b">
        <v>0</v>
      </c>
      <c r="U143" t="s">
        <v>240</v>
      </c>
      <c r="V143">
        <v>155</v>
      </c>
      <c r="W143">
        <v>4.3000000000006002E-3</v>
      </c>
      <c r="X143">
        <v>155.014200943031</v>
      </c>
      <c r="Y143">
        <v>155</v>
      </c>
      <c r="Z143">
        <v>1.42009430312839E-2</v>
      </c>
      <c r="AA143">
        <v>33</v>
      </c>
      <c r="AB143">
        <v>8</v>
      </c>
      <c r="AC143">
        <v>3</v>
      </c>
      <c r="AD143" t="b">
        <v>1</v>
      </c>
      <c r="AE143" t="s">
        <v>142</v>
      </c>
      <c r="AF143" t="s">
        <v>143</v>
      </c>
      <c r="AG143" t="b">
        <v>0</v>
      </c>
      <c r="AH143" t="b">
        <v>1</v>
      </c>
      <c r="AI143" t="b">
        <v>1</v>
      </c>
      <c r="AJ143" t="b">
        <v>0</v>
      </c>
      <c r="AK143" t="s">
        <v>237</v>
      </c>
      <c r="AL143" t="s">
        <v>239</v>
      </c>
      <c r="AR143" t="b">
        <v>0</v>
      </c>
      <c r="AS143">
        <v>2497</v>
      </c>
      <c r="BF143">
        <v>61.55612</v>
      </c>
      <c r="EH143" s="3">
        <f t="shared" si="4"/>
        <v>1.0416666666666666E-2</v>
      </c>
    </row>
    <row r="144" spans="1:138" x14ac:dyDescent="0.25">
      <c r="A144" s="1">
        <v>3188</v>
      </c>
      <c r="B144" t="s">
        <v>237</v>
      </c>
      <c r="C144" t="s">
        <v>312</v>
      </c>
      <c r="G144">
        <v>227.05439999999999</v>
      </c>
      <c r="H144">
        <v>0.441</v>
      </c>
      <c r="I144" t="s">
        <v>341</v>
      </c>
      <c r="K144" t="s">
        <v>239</v>
      </c>
      <c r="L144" t="s">
        <v>137</v>
      </c>
      <c r="M144">
        <v>19.571000000000002</v>
      </c>
      <c r="N144">
        <v>149.66999999999999</v>
      </c>
      <c r="O144">
        <v>-1</v>
      </c>
      <c r="P144">
        <v>2</v>
      </c>
      <c r="Q144">
        <v>27</v>
      </c>
      <c r="R144">
        <v>99.1</v>
      </c>
      <c r="T144" t="b">
        <v>0</v>
      </c>
      <c r="U144" t="s">
        <v>240</v>
      </c>
      <c r="V144">
        <v>227</v>
      </c>
      <c r="W144">
        <v>5.4399999999986903E-2</v>
      </c>
      <c r="X144">
        <v>227.068903163328</v>
      </c>
      <c r="Y144">
        <v>227</v>
      </c>
      <c r="Z144">
        <v>6.8903163327718203E-2</v>
      </c>
      <c r="AA144">
        <v>44</v>
      </c>
      <c r="AB144">
        <v>31</v>
      </c>
      <c r="AC144">
        <v>3</v>
      </c>
      <c r="AD144" t="b">
        <v>1</v>
      </c>
      <c r="AE144" t="s">
        <v>142</v>
      </c>
      <c r="AF144" t="s">
        <v>143</v>
      </c>
      <c r="AG144" t="b">
        <v>0</v>
      </c>
      <c r="AH144" t="b">
        <v>1</v>
      </c>
      <c r="AI144" t="b">
        <v>1</v>
      </c>
      <c r="AJ144" t="b">
        <v>0</v>
      </c>
      <c r="AK144" t="s">
        <v>237</v>
      </c>
      <c r="AL144" t="s">
        <v>239</v>
      </c>
      <c r="AR144" t="b">
        <v>0</v>
      </c>
      <c r="AS144">
        <v>3188</v>
      </c>
      <c r="BY144">
        <v>4.2595359999999998</v>
      </c>
      <c r="EH144" s="3">
        <f t="shared" si="4"/>
        <v>1.0416666666666666E-2</v>
      </c>
    </row>
    <row r="145" spans="1:138" x14ac:dyDescent="0.25">
      <c r="A145" s="1">
        <v>2482</v>
      </c>
      <c r="B145" t="s">
        <v>237</v>
      </c>
      <c r="C145" t="s">
        <v>313</v>
      </c>
      <c r="G145">
        <v>200.06200000000001</v>
      </c>
      <c r="H145">
        <v>0.48099999999999998</v>
      </c>
      <c r="I145" t="s">
        <v>341</v>
      </c>
      <c r="K145" t="s">
        <v>239</v>
      </c>
      <c r="L145" t="s">
        <v>137</v>
      </c>
      <c r="M145">
        <v>18.001000000000001</v>
      </c>
      <c r="N145">
        <v>138.66999999999999</v>
      </c>
      <c r="O145">
        <v>-1</v>
      </c>
      <c r="P145">
        <v>1</v>
      </c>
      <c r="Q145">
        <v>40</v>
      </c>
      <c r="R145">
        <v>99.3</v>
      </c>
      <c r="T145" t="b">
        <v>0</v>
      </c>
      <c r="U145" t="s">
        <v>240</v>
      </c>
      <c r="V145">
        <v>200</v>
      </c>
      <c r="W145">
        <v>6.2000000000011803E-2</v>
      </c>
      <c r="X145">
        <v>200.07477901622599</v>
      </c>
      <c r="Y145">
        <v>200</v>
      </c>
      <c r="Z145">
        <v>7.4779016225505798E-2</v>
      </c>
      <c r="AA145">
        <v>46</v>
      </c>
      <c r="AB145">
        <v>39</v>
      </c>
      <c r="AC145">
        <v>4</v>
      </c>
      <c r="AD145" t="b">
        <v>1</v>
      </c>
      <c r="AE145" t="s">
        <v>142</v>
      </c>
      <c r="AF145" t="s">
        <v>143</v>
      </c>
      <c r="AG145" t="b">
        <v>0</v>
      </c>
      <c r="AH145" t="b">
        <v>1</v>
      </c>
      <c r="AI145" t="b">
        <v>1</v>
      </c>
      <c r="AJ145" t="b">
        <v>0</v>
      </c>
      <c r="AK145" t="s">
        <v>237</v>
      </c>
      <c r="AL145" t="s">
        <v>239</v>
      </c>
      <c r="AR145" t="b">
        <v>0</v>
      </c>
      <c r="AS145">
        <v>2482</v>
      </c>
      <c r="AZ145">
        <v>114.1332</v>
      </c>
      <c r="EH145" s="3">
        <f t="shared" si="4"/>
        <v>1.0416666666666666E-2</v>
      </c>
    </row>
    <row r="146" spans="1:138" x14ac:dyDescent="0.25">
      <c r="A146" s="1">
        <v>7162</v>
      </c>
      <c r="B146" t="s">
        <v>237</v>
      </c>
      <c r="C146" t="s">
        <v>323</v>
      </c>
      <c r="G146">
        <v>215.03819999999999</v>
      </c>
      <c r="H146">
        <v>0.56299999999999994</v>
      </c>
      <c r="I146" t="s">
        <v>341</v>
      </c>
      <c r="K146" t="s">
        <v>239</v>
      </c>
      <c r="L146" t="s">
        <v>137</v>
      </c>
      <c r="M146">
        <v>12.499000000000001</v>
      </c>
      <c r="N146">
        <v>95.85</v>
      </c>
      <c r="O146">
        <v>-1</v>
      </c>
      <c r="P146">
        <v>1</v>
      </c>
      <c r="Q146">
        <v>11</v>
      </c>
      <c r="R146">
        <v>99.3</v>
      </c>
      <c r="T146" t="b">
        <v>0</v>
      </c>
      <c r="U146" t="s">
        <v>240</v>
      </c>
      <c r="V146">
        <v>215</v>
      </c>
      <c r="W146">
        <v>3.8199999999989097E-2</v>
      </c>
      <c r="X146">
        <v>215.05193562519099</v>
      </c>
      <c r="Y146">
        <v>215</v>
      </c>
      <c r="Z146">
        <v>5.19356251907084E-2</v>
      </c>
      <c r="AA146">
        <v>42</v>
      </c>
      <c r="AB146">
        <v>34</v>
      </c>
      <c r="AC146">
        <v>3</v>
      </c>
      <c r="AD146" t="b">
        <v>1</v>
      </c>
      <c r="AE146" t="s">
        <v>212</v>
      </c>
      <c r="AF146" t="s">
        <v>165</v>
      </c>
      <c r="AG146" t="b">
        <v>0</v>
      </c>
      <c r="AH146" t="b">
        <v>1</v>
      </c>
      <c r="AI146" t="b">
        <v>1</v>
      </c>
      <c r="AJ146" t="b">
        <v>0</v>
      </c>
      <c r="AK146" t="s">
        <v>237</v>
      </c>
      <c r="AL146" t="s">
        <v>239</v>
      </c>
      <c r="AR146" t="b">
        <v>0</v>
      </c>
      <c r="AS146">
        <v>7162</v>
      </c>
      <c r="BG146">
        <v>1.596139</v>
      </c>
      <c r="EH146" s="3">
        <f t="shared" si="4"/>
        <v>1.0416666666666666E-2</v>
      </c>
    </row>
    <row r="147" spans="1:138" x14ac:dyDescent="0.25">
      <c r="A147" s="1">
        <v>684</v>
      </c>
      <c r="B147" t="s">
        <v>237</v>
      </c>
      <c r="C147" t="s">
        <v>198</v>
      </c>
      <c r="G147">
        <v>181.05189999999999</v>
      </c>
      <c r="H147">
        <v>0.58599999999999997</v>
      </c>
      <c r="I147" t="s">
        <v>341</v>
      </c>
      <c r="K147" t="s">
        <v>239</v>
      </c>
      <c r="L147" t="s">
        <v>137</v>
      </c>
      <c r="M147">
        <v>18.341999999999999</v>
      </c>
      <c r="N147">
        <v>142.24</v>
      </c>
      <c r="O147">
        <v>-1</v>
      </c>
      <c r="P147">
        <v>2</v>
      </c>
      <c r="Q147">
        <v>36</v>
      </c>
      <c r="R147">
        <v>97.2</v>
      </c>
      <c r="T147" t="b">
        <v>0</v>
      </c>
      <c r="U147" t="s">
        <v>240</v>
      </c>
      <c r="V147">
        <v>181</v>
      </c>
      <c r="W147">
        <v>5.1899999999989198E-2</v>
      </c>
      <c r="X147">
        <v>181.06346474076901</v>
      </c>
      <c r="Y147">
        <v>181</v>
      </c>
      <c r="Z147">
        <v>6.3464740769148903E-2</v>
      </c>
      <c r="AA147">
        <v>43</v>
      </c>
      <c r="AB147">
        <v>20</v>
      </c>
      <c r="AC147">
        <v>3</v>
      </c>
      <c r="AD147" t="b">
        <v>1</v>
      </c>
      <c r="AE147" t="s">
        <v>212</v>
      </c>
      <c r="AF147" t="s">
        <v>143</v>
      </c>
      <c r="AG147" t="b">
        <v>0</v>
      </c>
      <c r="AH147" t="b">
        <v>1</v>
      </c>
      <c r="AI147" t="b">
        <v>1</v>
      </c>
      <c r="AJ147" t="b">
        <v>0</v>
      </c>
      <c r="AK147" t="s">
        <v>237</v>
      </c>
      <c r="AL147" t="s">
        <v>239</v>
      </c>
      <c r="AR147" t="b">
        <v>0</v>
      </c>
      <c r="AS147">
        <v>684</v>
      </c>
      <c r="CR147">
        <v>362.834</v>
      </c>
      <c r="EH147" s="3">
        <f t="shared" si="4"/>
        <v>1.0416666666666666E-2</v>
      </c>
    </row>
    <row r="148" spans="1:138" x14ac:dyDescent="0.25">
      <c r="A148" s="1">
        <v>8180</v>
      </c>
      <c r="B148" t="s">
        <v>284</v>
      </c>
      <c r="C148" t="s">
        <v>264</v>
      </c>
      <c r="G148">
        <v>135.0462</v>
      </c>
      <c r="H148">
        <v>0.58599999999999997</v>
      </c>
      <c r="I148" t="s">
        <v>341</v>
      </c>
      <c r="K148" t="s">
        <v>286</v>
      </c>
      <c r="L148" t="s">
        <v>137</v>
      </c>
      <c r="M148">
        <v>16.138999999999999</v>
      </c>
      <c r="N148">
        <v>127.97</v>
      </c>
      <c r="O148">
        <v>-1</v>
      </c>
      <c r="P148">
        <v>1</v>
      </c>
      <c r="Q148">
        <v>11</v>
      </c>
      <c r="R148">
        <v>83.5</v>
      </c>
      <c r="T148" t="b">
        <v>0</v>
      </c>
      <c r="U148" t="s">
        <v>240</v>
      </c>
      <c r="V148">
        <v>135</v>
      </c>
      <c r="W148">
        <v>4.6199999999998902E-2</v>
      </c>
      <c r="X148">
        <v>135.05482611381001</v>
      </c>
      <c r="Y148">
        <v>135</v>
      </c>
      <c r="Z148">
        <v>5.4826113809696202E-2</v>
      </c>
      <c r="AA148">
        <v>41</v>
      </c>
      <c r="AB148">
        <v>26</v>
      </c>
      <c r="AC148">
        <v>3</v>
      </c>
      <c r="AD148" t="b">
        <v>1</v>
      </c>
      <c r="AE148" t="s">
        <v>142</v>
      </c>
      <c r="AF148" t="s">
        <v>143</v>
      </c>
      <c r="AG148" t="b">
        <v>0</v>
      </c>
      <c r="AH148" t="b">
        <v>1</v>
      </c>
      <c r="AI148" t="b">
        <v>1</v>
      </c>
      <c r="AJ148" t="b">
        <v>0</v>
      </c>
      <c r="AK148" t="s">
        <v>284</v>
      </c>
      <c r="AL148" t="s">
        <v>286</v>
      </c>
      <c r="AR148" t="b">
        <v>0</v>
      </c>
      <c r="AS148">
        <v>8180</v>
      </c>
      <c r="CC148">
        <v>27.848690000000001</v>
      </c>
      <c r="EH148" s="3">
        <f t="shared" si="4"/>
        <v>1.0416666666666666E-2</v>
      </c>
    </row>
    <row r="149" spans="1:138" x14ac:dyDescent="0.25">
      <c r="A149" s="1">
        <v>6003</v>
      </c>
      <c r="B149" t="s">
        <v>237</v>
      </c>
      <c r="C149" t="s">
        <v>226</v>
      </c>
      <c r="G149">
        <v>352.03769999999997</v>
      </c>
      <c r="H149">
        <v>1.081</v>
      </c>
      <c r="I149" t="s">
        <v>341</v>
      </c>
      <c r="K149" t="s">
        <v>239</v>
      </c>
      <c r="L149" t="s">
        <v>137</v>
      </c>
      <c r="M149">
        <v>23.606000000000002</v>
      </c>
      <c r="N149">
        <v>176.91</v>
      </c>
      <c r="O149">
        <v>-1</v>
      </c>
      <c r="P149">
        <v>1</v>
      </c>
      <c r="Q149">
        <v>21</v>
      </c>
      <c r="R149">
        <v>95.1</v>
      </c>
      <c r="T149" t="b">
        <v>0</v>
      </c>
      <c r="U149" t="s">
        <v>240</v>
      </c>
      <c r="V149">
        <v>352</v>
      </c>
      <c r="W149">
        <v>3.7699999999972499E-2</v>
      </c>
      <c r="X149">
        <v>352.06018650658399</v>
      </c>
      <c r="Y149">
        <v>352</v>
      </c>
      <c r="Z149">
        <v>6.0186506584386699E-2</v>
      </c>
      <c r="AA149">
        <v>43</v>
      </c>
      <c r="AB149">
        <v>15</v>
      </c>
      <c r="AC149">
        <v>3</v>
      </c>
      <c r="AD149" t="b">
        <v>1</v>
      </c>
      <c r="AE149" t="s">
        <v>212</v>
      </c>
      <c r="AF149" t="s">
        <v>165</v>
      </c>
      <c r="AG149" t="b">
        <v>0</v>
      </c>
      <c r="AH149" t="b">
        <v>1</v>
      </c>
      <c r="AI149" t="b">
        <v>1</v>
      </c>
      <c r="AJ149" t="b">
        <v>0</v>
      </c>
      <c r="AK149" t="s">
        <v>237</v>
      </c>
      <c r="AL149" t="s">
        <v>239</v>
      </c>
      <c r="AR149" t="b">
        <v>0</v>
      </c>
      <c r="AS149">
        <v>6003</v>
      </c>
      <c r="BQ149">
        <v>27.810870000000001</v>
      </c>
      <c r="EH149" s="3">
        <f t="shared" si="4"/>
        <v>1.0416666666666666E-2</v>
      </c>
    </row>
    <row r="150" spans="1:138" x14ac:dyDescent="0.25">
      <c r="A150" s="1">
        <v>7285</v>
      </c>
      <c r="B150" t="s">
        <v>237</v>
      </c>
      <c r="C150" t="s">
        <v>299</v>
      </c>
      <c r="G150">
        <v>273.0951</v>
      </c>
      <c r="H150">
        <v>6.8259999999999996</v>
      </c>
      <c r="I150" t="s">
        <v>366</v>
      </c>
      <c r="K150" t="s">
        <v>239</v>
      </c>
      <c r="L150" t="s">
        <v>137</v>
      </c>
      <c r="M150">
        <v>16.472999999999999</v>
      </c>
      <c r="N150">
        <v>124.8</v>
      </c>
      <c r="O150">
        <v>-1</v>
      </c>
      <c r="P150">
        <v>1</v>
      </c>
      <c r="Q150">
        <v>19</v>
      </c>
      <c r="R150">
        <v>79.2</v>
      </c>
      <c r="T150" t="b">
        <v>0</v>
      </c>
      <c r="U150" t="s">
        <v>240</v>
      </c>
      <c r="V150">
        <v>273</v>
      </c>
      <c r="W150">
        <v>9.5100000000002197E-2</v>
      </c>
      <c r="X150">
        <v>273.11254402592198</v>
      </c>
      <c r="Y150">
        <v>273</v>
      </c>
      <c r="Z150">
        <v>0.112544025921977</v>
      </c>
      <c r="AA150">
        <v>47</v>
      </c>
      <c r="AB150">
        <v>51</v>
      </c>
      <c r="AC150">
        <v>3</v>
      </c>
      <c r="AD150" t="b">
        <v>1</v>
      </c>
      <c r="AE150" t="s">
        <v>212</v>
      </c>
      <c r="AF150" t="s">
        <v>165</v>
      </c>
      <c r="AG150" t="b">
        <v>0</v>
      </c>
      <c r="AH150" t="b">
        <v>1</v>
      </c>
      <c r="AI150" t="b">
        <v>1</v>
      </c>
      <c r="AJ150" t="b">
        <v>0</v>
      </c>
      <c r="AK150" t="s">
        <v>237</v>
      </c>
      <c r="AL150" t="s">
        <v>239</v>
      </c>
      <c r="AR150" t="b">
        <v>0</v>
      </c>
      <c r="AS150">
        <v>7285</v>
      </c>
      <c r="DU150">
        <v>27.244060000000001</v>
      </c>
      <c r="EH150" s="3">
        <f t="shared" si="4"/>
        <v>1.0416666666666666E-2</v>
      </c>
    </row>
  </sheetData>
  <sortState xmlns:xlrd2="http://schemas.microsoft.com/office/spreadsheetml/2017/richdata2" ref="A2:EH150">
    <sortCondition ref="I2:I150"/>
  </sortState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AFEA6-14D0-4641-A52A-72387D69B1B5}">
  <dimension ref="A1:H150"/>
  <sheetViews>
    <sheetView topLeftCell="A115" workbookViewId="0">
      <selection activeCell="G140" sqref="G140:H150"/>
    </sheetView>
  </sheetViews>
  <sheetFormatPr defaultRowHeight="15" x14ac:dyDescent="0.25"/>
  <sheetData>
    <row r="1" spans="1:8" x14ac:dyDescent="0.25">
      <c r="A1" t="s">
        <v>337</v>
      </c>
      <c r="B1" t="s">
        <v>336</v>
      </c>
      <c r="D1" t="s">
        <v>338</v>
      </c>
      <c r="E1" t="s">
        <v>336</v>
      </c>
      <c r="G1" t="s">
        <v>339</v>
      </c>
      <c r="H1" t="s">
        <v>336</v>
      </c>
    </row>
    <row r="2" spans="1:8" x14ac:dyDescent="0.25">
      <c r="A2">
        <v>4</v>
      </c>
      <c r="B2" s="3">
        <v>0.47916666666666669</v>
      </c>
      <c r="D2">
        <v>745</v>
      </c>
      <c r="E2" s="3">
        <v>1.0416666666666666E-2</v>
      </c>
      <c r="G2">
        <v>80</v>
      </c>
      <c r="H2" s="3">
        <v>1.0416666666666666E-2</v>
      </c>
    </row>
    <row r="3" spans="1:8" x14ac:dyDescent="0.25">
      <c r="A3">
        <v>44</v>
      </c>
      <c r="B3" s="3">
        <v>0.39583333333333331</v>
      </c>
      <c r="D3">
        <v>1062</v>
      </c>
      <c r="E3" s="3">
        <v>1.0416666666666666E-2</v>
      </c>
      <c r="G3">
        <v>331</v>
      </c>
      <c r="H3" s="3">
        <v>1.0416666666666666E-2</v>
      </c>
    </row>
    <row r="4" spans="1:8" x14ac:dyDescent="0.25">
      <c r="A4">
        <v>75</v>
      </c>
      <c r="B4" s="3">
        <v>0.32291666666666669</v>
      </c>
      <c r="D4">
        <v>1088</v>
      </c>
      <c r="E4" s="3">
        <v>1.0416666666666666E-2</v>
      </c>
      <c r="G4">
        <v>384</v>
      </c>
      <c r="H4" s="3">
        <v>1.0416666666666666E-2</v>
      </c>
    </row>
    <row r="5" spans="1:8" x14ac:dyDescent="0.25">
      <c r="A5">
        <v>121</v>
      </c>
      <c r="B5" s="3">
        <v>0.4375</v>
      </c>
      <c r="D5">
        <v>2938</v>
      </c>
      <c r="E5" s="3">
        <v>1.0416666666666666E-2</v>
      </c>
      <c r="G5">
        <v>393</v>
      </c>
      <c r="H5" s="3">
        <v>1.0416666666666666E-2</v>
      </c>
    </row>
    <row r="6" spans="1:8" x14ac:dyDescent="0.25">
      <c r="A6">
        <v>237</v>
      </c>
      <c r="B6" s="3">
        <v>0.33333333333333331</v>
      </c>
      <c r="D6">
        <v>3518</v>
      </c>
      <c r="E6" s="3">
        <v>1.0416666666666666E-2</v>
      </c>
      <c r="G6">
        <v>451</v>
      </c>
      <c r="H6" s="3">
        <v>1.0416666666666666E-2</v>
      </c>
    </row>
    <row r="7" spans="1:8" x14ac:dyDescent="0.25">
      <c r="A7">
        <v>269</v>
      </c>
      <c r="B7" s="3">
        <v>0.32291666666666669</v>
      </c>
      <c r="D7">
        <v>3784</v>
      </c>
      <c r="E7" s="3">
        <v>1.0416666666666666E-2</v>
      </c>
      <c r="G7">
        <v>684</v>
      </c>
      <c r="H7" s="3">
        <v>1.0416666666666666E-2</v>
      </c>
    </row>
    <row r="8" spans="1:8" x14ac:dyDescent="0.25">
      <c r="A8">
        <v>326</v>
      </c>
      <c r="B8" s="3">
        <v>0.44791666666666669</v>
      </c>
      <c r="D8">
        <v>3954</v>
      </c>
      <c r="E8" s="3">
        <v>1.0416666666666666E-2</v>
      </c>
      <c r="G8">
        <v>854</v>
      </c>
      <c r="H8" s="3">
        <v>1.0416666666666666E-2</v>
      </c>
    </row>
    <row r="9" spans="1:8" x14ac:dyDescent="0.25">
      <c r="A9">
        <v>330</v>
      </c>
      <c r="B9" s="3">
        <v>0.10416666666666667</v>
      </c>
      <c r="D9">
        <v>4111</v>
      </c>
      <c r="E9" s="3">
        <v>1.0416666666666666E-2</v>
      </c>
      <c r="G9">
        <v>1010</v>
      </c>
      <c r="H9" s="3">
        <v>1.0416666666666666E-2</v>
      </c>
    </row>
    <row r="10" spans="1:8" x14ac:dyDescent="0.25">
      <c r="A10">
        <v>373</v>
      </c>
      <c r="B10" s="3">
        <v>0.42708333333333331</v>
      </c>
      <c r="D10">
        <v>4547</v>
      </c>
      <c r="E10" s="3">
        <v>1.0416666666666666E-2</v>
      </c>
      <c r="G10">
        <v>1116</v>
      </c>
      <c r="H10" s="3">
        <v>1.0416666666666666E-2</v>
      </c>
    </row>
    <row r="11" spans="1:8" x14ac:dyDescent="0.25">
      <c r="A11">
        <v>377</v>
      </c>
      <c r="B11" s="3">
        <v>1.0416666666666666E-2</v>
      </c>
      <c r="D11">
        <v>5135</v>
      </c>
      <c r="E11" s="3">
        <v>1.0416666666666666E-2</v>
      </c>
      <c r="G11">
        <v>1390</v>
      </c>
      <c r="H11" s="3">
        <v>1.0416666666666666E-2</v>
      </c>
    </row>
    <row r="12" spans="1:8" x14ac:dyDescent="0.25">
      <c r="A12">
        <v>504</v>
      </c>
      <c r="B12" s="3">
        <v>0.36458333333333331</v>
      </c>
      <c r="D12">
        <v>6017</v>
      </c>
      <c r="E12" s="3">
        <v>1.0416666666666666E-2</v>
      </c>
      <c r="G12">
        <v>1554</v>
      </c>
      <c r="H12" s="3">
        <v>1.0416666666666666E-2</v>
      </c>
    </row>
    <row r="13" spans="1:8" x14ac:dyDescent="0.25">
      <c r="A13">
        <v>526</v>
      </c>
      <c r="B13" s="3">
        <v>0.39583333333333331</v>
      </c>
      <c r="D13">
        <v>6489</v>
      </c>
      <c r="E13" s="3">
        <v>1.0416666666666666E-2</v>
      </c>
      <c r="G13">
        <v>2170</v>
      </c>
      <c r="H13" s="3">
        <v>1.0416666666666666E-2</v>
      </c>
    </row>
    <row r="14" spans="1:8" x14ac:dyDescent="0.25">
      <c r="A14">
        <v>595</v>
      </c>
      <c r="B14" s="3">
        <v>1.0416666666666666E-2</v>
      </c>
      <c r="D14">
        <v>6816</v>
      </c>
      <c r="E14" s="3">
        <v>1.0416666666666666E-2</v>
      </c>
      <c r="G14">
        <v>2302</v>
      </c>
      <c r="H14" s="3">
        <v>1.0416666666666666E-2</v>
      </c>
    </row>
    <row r="15" spans="1:8" x14ac:dyDescent="0.25">
      <c r="A15">
        <v>606</v>
      </c>
      <c r="B15" s="3">
        <v>2.0833333333333332E-2</v>
      </c>
      <c r="D15">
        <v>6974</v>
      </c>
      <c r="E15" s="3">
        <v>1.0416666666666666E-2</v>
      </c>
      <c r="G15">
        <v>2482</v>
      </c>
      <c r="H15" s="3">
        <v>1.0416666666666666E-2</v>
      </c>
    </row>
    <row r="16" spans="1:8" x14ac:dyDescent="0.25">
      <c r="A16">
        <v>747</v>
      </c>
      <c r="B16" s="3">
        <v>0.19791666666666666</v>
      </c>
      <c r="D16">
        <v>7106</v>
      </c>
      <c r="E16" s="3">
        <v>1.0416666666666666E-2</v>
      </c>
      <c r="G16">
        <v>2497</v>
      </c>
      <c r="H16" s="3">
        <v>1.0416666666666666E-2</v>
      </c>
    </row>
    <row r="17" spans="1:8" x14ac:dyDescent="0.25">
      <c r="A17">
        <v>906</v>
      </c>
      <c r="B17" s="3">
        <v>2.0833333333333332E-2</v>
      </c>
      <c r="D17">
        <v>7475</v>
      </c>
      <c r="E17" s="3">
        <v>1.0416666666666666E-2</v>
      </c>
      <c r="G17">
        <v>2526</v>
      </c>
      <c r="H17" s="3">
        <v>1.0416666666666666E-2</v>
      </c>
    </row>
    <row r="18" spans="1:8" x14ac:dyDescent="0.25">
      <c r="A18">
        <v>1025</v>
      </c>
      <c r="B18" s="3">
        <v>2.0833333333333332E-2</v>
      </c>
      <c r="D18">
        <v>7494</v>
      </c>
      <c r="E18" s="3">
        <v>1.0416666666666666E-2</v>
      </c>
      <c r="G18">
        <v>2866</v>
      </c>
      <c r="H18" s="3">
        <v>1.0416666666666666E-2</v>
      </c>
    </row>
    <row r="19" spans="1:8" x14ac:dyDescent="0.25">
      <c r="A19">
        <v>1086</v>
      </c>
      <c r="B19" s="3">
        <v>0.21875</v>
      </c>
      <c r="D19">
        <v>8329</v>
      </c>
      <c r="E19" s="3">
        <v>1.0416666666666666E-2</v>
      </c>
      <c r="G19">
        <v>2919</v>
      </c>
      <c r="H19" s="3">
        <v>1.0416666666666666E-2</v>
      </c>
    </row>
    <row r="20" spans="1:8" x14ac:dyDescent="0.25">
      <c r="A20">
        <v>1113</v>
      </c>
      <c r="B20" s="3">
        <v>2.0833333333333332E-2</v>
      </c>
      <c r="D20">
        <v>8553</v>
      </c>
      <c r="E20" s="3">
        <v>1.0416666666666666E-2</v>
      </c>
      <c r="G20">
        <v>2992</v>
      </c>
      <c r="H20" s="3">
        <v>1.0416666666666666E-2</v>
      </c>
    </row>
    <row r="21" spans="1:8" x14ac:dyDescent="0.25">
      <c r="A21">
        <v>1146</v>
      </c>
      <c r="B21" s="3">
        <v>0.41666666666666669</v>
      </c>
      <c r="D21">
        <v>8601</v>
      </c>
      <c r="E21" s="3">
        <v>1.0416666666666666E-2</v>
      </c>
      <c r="G21">
        <v>3021</v>
      </c>
      <c r="H21" s="3">
        <v>1.0416666666666666E-2</v>
      </c>
    </row>
    <row r="22" spans="1:8" x14ac:dyDescent="0.25">
      <c r="A22">
        <v>1233</v>
      </c>
      <c r="B22" s="3">
        <v>0.5</v>
      </c>
      <c r="D22">
        <v>8778</v>
      </c>
      <c r="E22" s="3">
        <v>1.0416666666666666E-2</v>
      </c>
      <c r="G22">
        <v>3044</v>
      </c>
      <c r="H22" s="3">
        <v>1.0416666666666666E-2</v>
      </c>
    </row>
    <row r="23" spans="1:8" x14ac:dyDescent="0.25">
      <c r="A23">
        <v>1413</v>
      </c>
      <c r="B23" s="3">
        <v>0.38541666666666669</v>
      </c>
      <c r="D23">
        <v>1559</v>
      </c>
      <c r="E23" s="3">
        <v>2.0833333333333332E-2</v>
      </c>
      <c r="G23">
        <v>3112</v>
      </c>
      <c r="H23" s="3">
        <v>1.0416666666666666E-2</v>
      </c>
    </row>
    <row r="24" spans="1:8" x14ac:dyDescent="0.25">
      <c r="A24">
        <v>1985</v>
      </c>
      <c r="B24" s="3">
        <v>1.0416666666666666E-2</v>
      </c>
      <c r="D24">
        <v>2216</v>
      </c>
      <c r="E24" s="3">
        <v>2.0833333333333332E-2</v>
      </c>
      <c r="G24">
        <v>3188</v>
      </c>
      <c r="H24" s="3">
        <v>1.0416666666666666E-2</v>
      </c>
    </row>
    <row r="25" spans="1:8" x14ac:dyDescent="0.25">
      <c r="A25">
        <v>2130</v>
      </c>
      <c r="B25" s="3">
        <v>0.32291666666666669</v>
      </c>
      <c r="D25">
        <v>4843</v>
      </c>
      <c r="E25" s="3">
        <v>2.0833333333333332E-2</v>
      </c>
      <c r="G25">
        <v>3322</v>
      </c>
      <c r="H25" s="3">
        <v>1.0416666666666666E-2</v>
      </c>
    </row>
    <row r="26" spans="1:8" x14ac:dyDescent="0.25">
      <c r="A26">
        <v>2376</v>
      </c>
      <c r="B26" s="3">
        <v>5.2083333333333336E-2</v>
      </c>
      <c r="D26">
        <v>5709</v>
      </c>
      <c r="E26" s="3">
        <v>2.0833333333333332E-2</v>
      </c>
      <c r="G26">
        <v>3450</v>
      </c>
      <c r="H26" s="3">
        <v>1.0416666666666666E-2</v>
      </c>
    </row>
    <row r="27" spans="1:8" x14ac:dyDescent="0.25">
      <c r="A27">
        <v>3273</v>
      </c>
      <c r="B27" s="3">
        <v>0.17708333333333334</v>
      </c>
      <c r="D27">
        <v>6529</v>
      </c>
      <c r="E27" s="3">
        <v>2.0833333333333332E-2</v>
      </c>
      <c r="G27">
        <v>3787</v>
      </c>
      <c r="H27" s="3">
        <v>1.0416666666666666E-2</v>
      </c>
    </row>
    <row r="28" spans="1:8" x14ac:dyDescent="0.25">
      <c r="A28">
        <v>3331</v>
      </c>
      <c r="B28" s="3">
        <v>0.11458333333333333</v>
      </c>
      <c r="D28">
        <v>8448</v>
      </c>
      <c r="E28" s="3">
        <v>2.0833333333333332E-2</v>
      </c>
      <c r="G28">
        <v>4150</v>
      </c>
      <c r="H28" s="3">
        <v>1.0416666666666666E-2</v>
      </c>
    </row>
    <row r="29" spans="1:8" x14ac:dyDescent="0.25">
      <c r="A29">
        <v>5002</v>
      </c>
      <c r="B29" s="3">
        <v>2.0833333333333332E-2</v>
      </c>
      <c r="D29">
        <v>8683</v>
      </c>
      <c r="E29" s="3">
        <v>2.0833333333333332E-2</v>
      </c>
      <c r="G29">
        <v>4538</v>
      </c>
      <c r="H29" s="3">
        <v>1.0416666666666666E-2</v>
      </c>
    </row>
    <row r="30" spans="1:8" x14ac:dyDescent="0.25">
      <c r="A30">
        <v>6154</v>
      </c>
      <c r="B30" s="3">
        <v>0.11458333333333333</v>
      </c>
      <c r="D30">
        <v>543</v>
      </c>
      <c r="E30" s="3">
        <v>3.125E-2</v>
      </c>
      <c r="G30">
        <v>4619</v>
      </c>
      <c r="H30" s="3">
        <v>1.0416666666666666E-2</v>
      </c>
    </row>
    <row r="31" spans="1:8" x14ac:dyDescent="0.25">
      <c r="A31">
        <v>6339</v>
      </c>
      <c r="B31" s="3">
        <v>5.2083333333333336E-2</v>
      </c>
      <c r="D31">
        <v>2607</v>
      </c>
      <c r="E31" s="3">
        <v>3.125E-2</v>
      </c>
      <c r="G31">
        <v>4764</v>
      </c>
      <c r="H31" s="3">
        <v>1.0416666666666666E-2</v>
      </c>
    </row>
    <row r="32" spans="1:8" x14ac:dyDescent="0.25">
      <c r="A32">
        <v>8367</v>
      </c>
      <c r="B32" s="3">
        <v>0.11458333333333333</v>
      </c>
      <c r="D32">
        <v>5551</v>
      </c>
      <c r="E32" s="3">
        <v>3.125E-2</v>
      </c>
      <c r="G32">
        <v>5042</v>
      </c>
      <c r="H32" s="3">
        <v>1.0416666666666666E-2</v>
      </c>
    </row>
    <row r="33" spans="4:8" x14ac:dyDescent="0.25">
      <c r="D33">
        <v>6811</v>
      </c>
      <c r="E33" s="3">
        <v>3.125E-2</v>
      </c>
      <c r="G33">
        <v>5214</v>
      </c>
      <c r="H33" s="3">
        <v>1.0416666666666666E-2</v>
      </c>
    </row>
    <row r="34" spans="4:8" x14ac:dyDescent="0.25">
      <c r="D34">
        <v>8807</v>
      </c>
      <c r="E34" s="3">
        <v>3.125E-2</v>
      </c>
      <c r="G34">
        <v>5332</v>
      </c>
      <c r="H34" s="3">
        <v>1.0416666666666666E-2</v>
      </c>
    </row>
    <row r="35" spans="4:8" x14ac:dyDescent="0.25">
      <c r="D35">
        <v>360</v>
      </c>
      <c r="E35" s="3">
        <v>4.1666666666666664E-2</v>
      </c>
      <c r="G35">
        <v>5494</v>
      </c>
      <c r="H35" s="3">
        <v>1.0416666666666666E-2</v>
      </c>
    </row>
    <row r="36" spans="4:8" x14ac:dyDescent="0.25">
      <c r="D36">
        <v>1480</v>
      </c>
      <c r="E36" s="3">
        <v>4.1666666666666664E-2</v>
      </c>
      <c r="G36">
        <v>5676</v>
      </c>
      <c r="H36" s="3">
        <v>1.0416666666666666E-2</v>
      </c>
    </row>
    <row r="37" spans="4:8" x14ac:dyDescent="0.25">
      <c r="D37">
        <v>1672</v>
      </c>
      <c r="E37" s="3">
        <v>4.1666666666666664E-2</v>
      </c>
      <c r="G37">
        <v>5693</v>
      </c>
      <c r="H37" s="3">
        <v>1.0416666666666666E-2</v>
      </c>
    </row>
    <row r="38" spans="4:8" x14ac:dyDescent="0.25">
      <c r="D38">
        <v>2318</v>
      </c>
      <c r="E38" s="3">
        <v>4.1666666666666664E-2</v>
      </c>
      <c r="G38">
        <v>5731</v>
      </c>
      <c r="H38" s="3">
        <v>1.0416666666666666E-2</v>
      </c>
    </row>
    <row r="39" spans="4:8" x14ac:dyDescent="0.25">
      <c r="D39">
        <v>5482</v>
      </c>
      <c r="E39" s="3">
        <v>4.1666666666666664E-2</v>
      </c>
      <c r="G39">
        <v>6003</v>
      </c>
      <c r="H39" s="3">
        <v>1.0416666666666666E-2</v>
      </c>
    </row>
    <row r="40" spans="4:8" x14ac:dyDescent="0.25">
      <c r="D40">
        <v>6177</v>
      </c>
      <c r="E40" s="3">
        <v>4.1666666666666664E-2</v>
      </c>
      <c r="G40">
        <v>6015</v>
      </c>
      <c r="H40" s="3">
        <v>1.0416666666666666E-2</v>
      </c>
    </row>
    <row r="41" spans="4:8" x14ac:dyDescent="0.25">
      <c r="D41">
        <v>7712</v>
      </c>
      <c r="E41" s="3">
        <v>4.1666666666666664E-2</v>
      </c>
      <c r="G41">
        <v>6109</v>
      </c>
      <c r="H41" s="3">
        <v>1.0416666666666666E-2</v>
      </c>
    </row>
    <row r="42" spans="4:8" x14ac:dyDescent="0.25">
      <c r="D42">
        <v>203</v>
      </c>
      <c r="E42" s="3">
        <v>5.2083333333333336E-2</v>
      </c>
      <c r="G42">
        <v>6222</v>
      </c>
      <c r="H42" s="3">
        <v>1.0416666666666666E-2</v>
      </c>
    </row>
    <row r="43" spans="4:8" x14ac:dyDescent="0.25">
      <c r="D43">
        <v>5900</v>
      </c>
      <c r="E43" s="3">
        <v>5.2083333333333336E-2</v>
      </c>
      <c r="G43">
        <v>6614</v>
      </c>
      <c r="H43" s="3">
        <v>1.0416666666666666E-2</v>
      </c>
    </row>
    <row r="44" spans="4:8" x14ac:dyDescent="0.25">
      <c r="D44">
        <v>7436</v>
      </c>
      <c r="E44" s="3">
        <v>5.2083333333333336E-2</v>
      </c>
      <c r="G44">
        <v>6641</v>
      </c>
      <c r="H44" s="3">
        <v>1.0416666666666666E-2</v>
      </c>
    </row>
    <row r="45" spans="4:8" x14ac:dyDescent="0.25">
      <c r="D45">
        <v>3811</v>
      </c>
      <c r="E45" s="3">
        <v>6.25E-2</v>
      </c>
      <c r="G45">
        <v>6664</v>
      </c>
      <c r="H45" s="3">
        <v>1.0416666666666666E-2</v>
      </c>
    </row>
    <row r="46" spans="4:8" x14ac:dyDescent="0.25">
      <c r="D46">
        <v>3820</v>
      </c>
      <c r="E46" s="3">
        <v>6.25E-2</v>
      </c>
      <c r="G46">
        <v>6715</v>
      </c>
      <c r="H46" s="3">
        <v>1.0416666666666666E-2</v>
      </c>
    </row>
    <row r="47" spans="4:8" x14ac:dyDescent="0.25">
      <c r="D47">
        <v>37</v>
      </c>
      <c r="E47" s="3">
        <v>7.2916666666666671E-2</v>
      </c>
      <c r="G47">
        <v>6941</v>
      </c>
      <c r="H47" s="3">
        <v>1.0416666666666666E-2</v>
      </c>
    </row>
    <row r="48" spans="4:8" x14ac:dyDescent="0.25">
      <c r="D48">
        <v>6884</v>
      </c>
      <c r="E48" s="3">
        <v>7.2916666666666671E-2</v>
      </c>
      <c r="G48">
        <v>7113</v>
      </c>
      <c r="H48" s="3">
        <v>1.0416666666666666E-2</v>
      </c>
    </row>
    <row r="49" spans="4:8" x14ac:dyDescent="0.25">
      <c r="D49">
        <v>380</v>
      </c>
      <c r="E49" s="3">
        <v>8.3333333333333329E-2</v>
      </c>
      <c r="G49">
        <v>7132</v>
      </c>
      <c r="H49" s="3">
        <v>1.0416666666666666E-2</v>
      </c>
    </row>
    <row r="50" spans="4:8" x14ac:dyDescent="0.25">
      <c r="D50">
        <v>8280</v>
      </c>
      <c r="E50" s="3">
        <v>8.3333333333333329E-2</v>
      </c>
      <c r="G50">
        <v>7155</v>
      </c>
      <c r="H50" s="3">
        <v>1.0416666666666666E-2</v>
      </c>
    </row>
    <row r="51" spans="4:8" x14ac:dyDescent="0.25">
      <c r="D51">
        <v>1428</v>
      </c>
      <c r="E51" s="3">
        <v>0.10416666666666667</v>
      </c>
      <c r="G51">
        <v>7162</v>
      </c>
      <c r="H51" s="3">
        <v>1.0416666666666666E-2</v>
      </c>
    </row>
    <row r="52" spans="4:8" x14ac:dyDescent="0.25">
      <c r="D52">
        <v>62</v>
      </c>
      <c r="E52" s="3">
        <v>0.125</v>
      </c>
      <c r="G52">
        <v>7199</v>
      </c>
      <c r="H52" s="3">
        <v>1.0416666666666666E-2</v>
      </c>
    </row>
    <row r="53" spans="4:8" x14ac:dyDescent="0.25">
      <c r="D53">
        <v>3415</v>
      </c>
      <c r="E53" s="3">
        <v>0.125</v>
      </c>
      <c r="G53">
        <v>7206</v>
      </c>
      <c r="H53" s="3">
        <v>1.0416666666666666E-2</v>
      </c>
    </row>
    <row r="54" spans="4:8" x14ac:dyDescent="0.25">
      <c r="D54">
        <v>5163</v>
      </c>
      <c r="E54" s="3">
        <v>0.15625</v>
      </c>
      <c r="G54">
        <v>7207</v>
      </c>
      <c r="H54" s="3">
        <v>1.0416666666666666E-2</v>
      </c>
    </row>
    <row r="55" spans="4:8" x14ac:dyDescent="0.25">
      <c r="D55">
        <v>7094</v>
      </c>
      <c r="E55" s="3">
        <v>0.15625</v>
      </c>
      <c r="G55">
        <v>7250</v>
      </c>
      <c r="H55" s="3">
        <v>1.0416666666666666E-2</v>
      </c>
    </row>
    <row r="56" spans="4:8" x14ac:dyDescent="0.25">
      <c r="D56">
        <v>4751</v>
      </c>
      <c r="E56" s="3">
        <v>0.19791666666666666</v>
      </c>
      <c r="G56">
        <v>7285</v>
      </c>
      <c r="H56" s="3">
        <v>1.0416666666666666E-2</v>
      </c>
    </row>
    <row r="57" spans="4:8" x14ac:dyDescent="0.25">
      <c r="D57">
        <v>2794</v>
      </c>
      <c r="E57" s="3">
        <v>0.27083333333333331</v>
      </c>
      <c r="G57">
        <v>7370</v>
      </c>
      <c r="H57" s="3">
        <v>1.0416666666666666E-2</v>
      </c>
    </row>
    <row r="58" spans="4:8" x14ac:dyDescent="0.25">
      <c r="D58">
        <v>1692</v>
      </c>
      <c r="E58" s="3">
        <v>0.28125</v>
      </c>
      <c r="G58">
        <v>7570</v>
      </c>
      <c r="H58" s="3">
        <v>1.0416666666666666E-2</v>
      </c>
    </row>
    <row r="59" spans="4:8" x14ac:dyDescent="0.25">
      <c r="D59">
        <v>2683</v>
      </c>
      <c r="E59" s="3">
        <v>0.29166666666666669</v>
      </c>
      <c r="G59">
        <v>7592</v>
      </c>
      <c r="H59" s="3">
        <v>1.0416666666666666E-2</v>
      </c>
    </row>
    <row r="60" spans="4:8" x14ac:dyDescent="0.25">
      <c r="D60">
        <v>567</v>
      </c>
      <c r="E60" s="3">
        <v>0.33333333333333331</v>
      </c>
      <c r="G60">
        <v>7756</v>
      </c>
      <c r="H60" s="3">
        <v>1.0416666666666666E-2</v>
      </c>
    </row>
    <row r="61" spans="4:8" x14ac:dyDescent="0.25">
      <c r="D61">
        <v>1906</v>
      </c>
      <c r="E61" s="3">
        <v>0.35416666666666669</v>
      </c>
      <c r="G61">
        <v>7901</v>
      </c>
      <c r="H61" s="3">
        <v>1.0416666666666666E-2</v>
      </c>
    </row>
    <row r="62" spans="4:8" x14ac:dyDescent="0.25">
      <c r="D62">
        <v>608</v>
      </c>
      <c r="E62" s="3">
        <v>0.38541666666666669</v>
      </c>
      <c r="G62">
        <v>8148</v>
      </c>
      <c r="H62" s="3">
        <v>1.0416666666666666E-2</v>
      </c>
    </row>
    <row r="63" spans="4:8" x14ac:dyDescent="0.25">
      <c r="D63">
        <v>469</v>
      </c>
      <c r="E63" s="3">
        <v>0.39583333333333331</v>
      </c>
      <c r="G63">
        <v>8154</v>
      </c>
      <c r="H63" s="3">
        <v>1.0416666666666666E-2</v>
      </c>
    </row>
    <row r="64" spans="4:8" x14ac:dyDescent="0.25">
      <c r="G64">
        <v>8157</v>
      </c>
      <c r="H64" s="3">
        <v>1.0416666666666666E-2</v>
      </c>
    </row>
    <row r="65" spans="7:8" x14ac:dyDescent="0.25">
      <c r="G65">
        <v>8180</v>
      </c>
      <c r="H65" s="3">
        <v>1.0416666666666666E-2</v>
      </c>
    </row>
    <row r="66" spans="7:8" x14ac:dyDescent="0.25">
      <c r="G66">
        <v>8187</v>
      </c>
      <c r="H66" s="3">
        <v>1.0416666666666666E-2</v>
      </c>
    </row>
    <row r="67" spans="7:8" x14ac:dyDescent="0.25">
      <c r="G67">
        <v>8383</v>
      </c>
      <c r="H67" s="3">
        <v>1.0416666666666666E-2</v>
      </c>
    </row>
    <row r="68" spans="7:8" x14ac:dyDescent="0.25">
      <c r="G68">
        <v>8410</v>
      </c>
      <c r="H68" s="3">
        <v>1.0416666666666666E-2</v>
      </c>
    </row>
    <row r="69" spans="7:8" x14ac:dyDescent="0.25">
      <c r="G69">
        <v>8441</v>
      </c>
      <c r="H69" s="3">
        <v>1.0416666666666666E-2</v>
      </c>
    </row>
    <row r="70" spans="7:8" x14ac:dyDescent="0.25">
      <c r="G70">
        <v>8444</v>
      </c>
      <c r="H70" s="3">
        <v>1.0416666666666666E-2</v>
      </c>
    </row>
    <row r="71" spans="7:8" x14ac:dyDescent="0.25">
      <c r="G71">
        <v>8485</v>
      </c>
      <c r="H71" s="3">
        <v>1.0416666666666666E-2</v>
      </c>
    </row>
    <row r="72" spans="7:8" x14ac:dyDescent="0.25">
      <c r="G72">
        <v>8712</v>
      </c>
      <c r="H72" s="3">
        <v>1.0416666666666666E-2</v>
      </c>
    </row>
    <row r="73" spans="7:8" x14ac:dyDescent="0.25">
      <c r="G73">
        <v>8819</v>
      </c>
      <c r="H73" s="3">
        <v>1.0416666666666666E-2</v>
      </c>
    </row>
    <row r="74" spans="7:8" x14ac:dyDescent="0.25">
      <c r="G74">
        <v>8854</v>
      </c>
      <c r="H74" s="3">
        <v>1.0416666666666666E-2</v>
      </c>
    </row>
    <row r="75" spans="7:8" x14ac:dyDescent="0.25">
      <c r="G75">
        <v>8859</v>
      </c>
      <c r="H75" s="3">
        <v>1.0416666666666666E-2</v>
      </c>
    </row>
    <row r="76" spans="7:8" x14ac:dyDescent="0.25">
      <c r="G76">
        <v>8951</v>
      </c>
      <c r="H76" s="3">
        <v>1.0416666666666666E-2</v>
      </c>
    </row>
    <row r="77" spans="7:8" x14ac:dyDescent="0.25">
      <c r="G77">
        <v>278</v>
      </c>
      <c r="H77" s="3">
        <v>2.0833333333333332E-2</v>
      </c>
    </row>
    <row r="78" spans="7:8" x14ac:dyDescent="0.25">
      <c r="G78">
        <v>442</v>
      </c>
      <c r="H78" s="3">
        <v>2.0833333333333332E-2</v>
      </c>
    </row>
    <row r="79" spans="7:8" x14ac:dyDescent="0.25">
      <c r="G79">
        <v>939</v>
      </c>
      <c r="H79" s="3">
        <v>2.0833333333333332E-2</v>
      </c>
    </row>
    <row r="80" spans="7:8" x14ac:dyDescent="0.25">
      <c r="G80">
        <v>1064</v>
      </c>
      <c r="H80" s="3">
        <v>2.0833333333333332E-2</v>
      </c>
    </row>
    <row r="81" spans="7:8" x14ac:dyDescent="0.25">
      <c r="G81">
        <v>1159</v>
      </c>
      <c r="H81" s="3">
        <v>2.0833333333333332E-2</v>
      </c>
    </row>
    <row r="82" spans="7:8" x14ac:dyDescent="0.25">
      <c r="G82">
        <v>2173</v>
      </c>
      <c r="H82" s="3">
        <v>2.0833333333333332E-2</v>
      </c>
    </row>
    <row r="83" spans="7:8" x14ac:dyDescent="0.25">
      <c r="G83">
        <v>3062</v>
      </c>
      <c r="H83" s="3">
        <v>2.0833333333333332E-2</v>
      </c>
    </row>
    <row r="84" spans="7:8" x14ac:dyDescent="0.25">
      <c r="G84">
        <v>3130</v>
      </c>
      <c r="H84" s="3">
        <v>2.0833333333333332E-2</v>
      </c>
    </row>
    <row r="85" spans="7:8" x14ac:dyDescent="0.25">
      <c r="G85">
        <v>3511</v>
      </c>
      <c r="H85" s="3">
        <v>2.0833333333333332E-2</v>
      </c>
    </row>
    <row r="86" spans="7:8" x14ac:dyDescent="0.25">
      <c r="G86">
        <v>3537</v>
      </c>
      <c r="H86" s="3">
        <v>2.0833333333333332E-2</v>
      </c>
    </row>
    <row r="87" spans="7:8" x14ac:dyDescent="0.25">
      <c r="G87">
        <v>3818</v>
      </c>
      <c r="H87" s="3">
        <v>2.0833333333333332E-2</v>
      </c>
    </row>
    <row r="88" spans="7:8" x14ac:dyDescent="0.25">
      <c r="G88">
        <v>4874</v>
      </c>
      <c r="H88" s="3">
        <v>2.0833333333333332E-2</v>
      </c>
    </row>
    <row r="89" spans="7:8" x14ac:dyDescent="0.25">
      <c r="G89">
        <v>5771</v>
      </c>
      <c r="H89" s="3">
        <v>2.0833333333333332E-2</v>
      </c>
    </row>
    <row r="90" spans="7:8" x14ac:dyDescent="0.25">
      <c r="G90">
        <v>6300</v>
      </c>
      <c r="H90" s="3">
        <v>2.0833333333333332E-2</v>
      </c>
    </row>
    <row r="91" spans="7:8" x14ac:dyDescent="0.25">
      <c r="G91">
        <v>6612</v>
      </c>
      <c r="H91" s="3">
        <v>2.0833333333333332E-2</v>
      </c>
    </row>
    <row r="92" spans="7:8" x14ac:dyDescent="0.25">
      <c r="G92">
        <v>7471</v>
      </c>
      <c r="H92" s="3">
        <v>2.0833333333333332E-2</v>
      </c>
    </row>
    <row r="93" spans="7:8" x14ac:dyDescent="0.25">
      <c r="G93">
        <v>7619</v>
      </c>
      <c r="H93" s="3">
        <v>2.0833333333333332E-2</v>
      </c>
    </row>
    <row r="94" spans="7:8" x14ac:dyDescent="0.25">
      <c r="G94">
        <v>7689</v>
      </c>
      <c r="H94" s="3">
        <v>2.0833333333333332E-2</v>
      </c>
    </row>
    <row r="95" spans="7:8" x14ac:dyDescent="0.25">
      <c r="G95">
        <v>7867</v>
      </c>
      <c r="H95" s="3">
        <v>2.0833333333333332E-2</v>
      </c>
    </row>
    <row r="96" spans="7:8" x14ac:dyDescent="0.25">
      <c r="G96">
        <v>8081</v>
      </c>
      <c r="H96" s="3">
        <v>2.0833333333333332E-2</v>
      </c>
    </row>
    <row r="97" spans="7:8" x14ac:dyDescent="0.25">
      <c r="G97">
        <v>8495</v>
      </c>
      <c r="H97" s="3">
        <v>2.0833333333333332E-2</v>
      </c>
    </row>
    <row r="98" spans="7:8" x14ac:dyDescent="0.25">
      <c r="G98">
        <v>8506</v>
      </c>
      <c r="H98" s="3">
        <v>2.0833333333333332E-2</v>
      </c>
    </row>
    <row r="99" spans="7:8" x14ac:dyDescent="0.25">
      <c r="G99">
        <v>8600</v>
      </c>
      <c r="H99" s="3">
        <v>2.0833333333333332E-2</v>
      </c>
    </row>
    <row r="100" spans="7:8" x14ac:dyDescent="0.25">
      <c r="G100">
        <v>8623</v>
      </c>
      <c r="H100" s="3">
        <v>2.0833333333333332E-2</v>
      </c>
    </row>
    <row r="101" spans="7:8" x14ac:dyDescent="0.25">
      <c r="G101">
        <v>8884</v>
      </c>
      <c r="H101" s="3">
        <v>2.0833333333333332E-2</v>
      </c>
    </row>
    <row r="102" spans="7:8" x14ac:dyDescent="0.25">
      <c r="G102">
        <v>8901</v>
      </c>
      <c r="H102" s="3">
        <v>2.0833333333333332E-2</v>
      </c>
    </row>
    <row r="103" spans="7:8" x14ac:dyDescent="0.25">
      <c r="G103">
        <v>481</v>
      </c>
      <c r="H103" s="3">
        <v>3.125E-2</v>
      </c>
    </row>
    <row r="104" spans="7:8" x14ac:dyDescent="0.25">
      <c r="G104">
        <v>3404</v>
      </c>
      <c r="H104" s="3">
        <v>3.125E-2</v>
      </c>
    </row>
    <row r="105" spans="7:8" x14ac:dyDescent="0.25">
      <c r="G105">
        <v>3826</v>
      </c>
      <c r="H105" s="3">
        <v>3.125E-2</v>
      </c>
    </row>
    <row r="106" spans="7:8" x14ac:dyDescent="0.25">
      <c r="G106">
        <v>3970</v>
      </c>
      <c r="H106" s="3">
        <v>3.125E-2</v>
      </c>
    </row>
    <row r="107" spans="7:8" x14ac:dyDescent="0.25">
      <c r="G107">
        <v>4091</v>
      </c>
      <c r="H107" s="3">
        <v>3.125E-2</v>
      </c>
    </row>
    <row r="108" spans="7:8" x14ac:dyDescent="0.25">
      <c r="G108">
        <v>4500</v>
      </c>
      <c r="H108" s="3">
        <v>3.125E-2</v>
      </c>
    </row>
    <row r="109" spans="7:8" x14ac:dyDescent="0.25">
      <c r="G109">
        <v>5218</v>
      </c>
      <c r="H109" s="3">
        <v>3.125E-2</v>
      </c>
    </row>
    <row r="110" spans="7:8" x14ac:dyDescent="0.25">
      <c r="G110">
        <v>6135</v>
      </c>
      <c r="H110" s="3">
        <v>3.125E-2</v>
      </c>
    </row>
    <row r="111" spans="7:8" x14ac:dyDescent="0.25">
      <c r="G111">
        <v>6337</v>
      </c>
      <c r="H111" s="3">
        <v>3.125E-2</v>
      </c>
    </row>
    <row r="112" spans="7:8" x14ac:dyDescent="0.25">
      <c r="G112">
        <v>6846</v>
      </c>
      <c r="H112" s="3">
        <v>3.125E-2</v>
      </c>
    </row>
    <row r="113" spans="7:8" x14ac:dyDescent="0.25">
      <c r="G113">
        <v>7595</v>
      </c>
      <c r="H113" s="3">
        <v>3.125E-2</v>
      </c>
    </row>
    <row r="114" spans="7:8" x14ac:dyDescent="0.25">
      <c r="G114">
        <v>7660</v>
      </c>
      <c r="H114" s="3">
        <v>3.125E-2</v>
      </c>
    </row>
    <row r="115" spans="7:8" x14ac:dyDescent="0.25">
      <c r="G115">
        <v>7845</v>
      </c>
      <c r="H115" s="3">
        <v>3.125E-2</v>
      </c>
    </row>
    <row r="116" spans="7:8" x14ac:dyDescent="0.25">
      <c r="G116">
        <v>8780</v>
      </c>
      <c r="H116" s="3">
        <v>3.125E-2</v>
      </c>
    </row>
    <row r="117" spans="7:8" x14ac:dyDescent="0.25">
      <c r="G117">
        <v>8946</v>
      </c>
      <c r="H117" s="3">
        <v>3.125E-2</v>
      </c>
    </row>
    <row r="118" spans="7:8" x14ac:dyDescent="0.25">
      <c r="G118">
        <v>404</v>
      </c>
      <c r="H118" s="3">
        <v>4.1666666666666664E-2</v>
      </c>
    </row>
    <row r="119" spans="7:8" x14ac:dyDescent="0.25">
      <c r="G119">
        <v>671</v>
      </c>
      <c r="H119" s="3">
        <v>4.1666666666666664E-2</v>
      </c>
    </row>
    <row r="120" spans="7:8" x14ac:dyDescent="0.25">
      <c r="G120">
        <v>1229</v>
      </c>
      <c r="H120" s="3">
        <v>4.1666666666666664E-2</v>
      </c>
    </row>
    <row r="121" spans="7:8" x14ac:dyDescent="0.25">
      <c r="G121">
        <v>2857</v>
      </c>
      <c r="H121" s="3">
        <v>4.1666666666666664E-2</v>
      </c>
    </row>
    <row r="122" spans="7:8" x14ac:dyDescent="0.25">
      <c r="G122">
        <v>5467</v>
      </c>
      <c r="H122" s="3">
        <v>4.1666666666666664E-2</v>
      </c>
    </row>
    <row r="123" spans="7:8" x14ac:dyDescent="0.25">
      <c r="G123">
        <v>6787</v>
      </c>
      <c r="H123" s="3">
        <v>4.1666666666666664E-2</v>
      </c>
    </row>
    <row r="124" spans="7:8" x14ac:dyDescent="0.25">
      <c r="G124">
        <v>7072</v>
      </c>
      <c r="H124" s="3">
        <v>4.1666666666666664E-2</v>
      </c>
    </row>
    <row r="125" spans="7:8" x14ac:dyDescent="0.25">
      <c r="G125">
        <v>8206</v>
      </c>
      <c r="H125" s="3">
        <v>4.1666666666666664E-2</v>
      </c>
    </row>
    <row r="126" spans="7:8" x14ac:dyDescent="0.25">
      <c r="G126">
        <v>2352</v>
      </c>
      <c r="H126" s="3">
        <v>5.2083333333333336E-2</v>
      </c>
    </row>
    <row r="127" spans="7:8" x14ac:dyDescent="0.25">
      <c r="G127">
        <v>7364</v>
      </c>
      <c r="H127" s="3">
        <v>5.2083333333333336E-2</v>
      </c>
    </row>
    <row r="128" spans="7:8" x14ac:dyDescent="0.25">
      <c r="G128">
        <v>7585</v>
      </c>
      <c r="H128" s="3">
        <v>5.2083333333333336E-2</v>
      </c>
    </row>
    <row r="129" spans="7:8" x14ac:dyDescent="0.25">
      <c r="G129">
        <v>4794</v>
      </c>
      <c r="H129" s="3">
        <v>6.25E-2</v>
      </c>
    </row>
    <row r="130" spans="7:8" x14ac:dyDescent="0.25">
      <c r="G130">
        <v>5651</v>
      </c>
      <c r="H130" s="3">
        <v>6.25E-2</v>
      </c>
    </row>
    <row r="131" spans="7:8" x14ac:dyDescent="0.25">
      <c r="G131">
        <v>6978</v>
      </c>
      <c r="H131" s="3">
        <v>6.25E-2</v>
      </c>
    </row>
    <row r="132" spans="7:8" x14ac:dyDescent="0.25">
      <c r="G132">
        <v>8785</v>
      </c>
      <c r="H132" s="3">
        <v>6.25E-2</v>
      </c>
    </row>
    <row r="133" spans="7:8" x14ac:dyDescent="0.25">
      <c r="G133">
        <v>4351</v>
      </c>
      <c r="H133" s="3">
        <v>7.2916666666666671E-2</v>
      </c>
    </row>
    <row r="134" spans="7:8" x14ac:dyDescent="0.25">
      <c r="G134">
        <v>5350</v>
      </c>
      <c r="H134" s="3">
        <v>7.2916666666666671E-2</v>
      </c>
    </row>
    <row r="135" spans="7:8" x14ac:dyDescent="0.25">
      <c r="G135">
        <v>7753</v>
      </c>
      <c r="H135" s="3">
        <v>7.2916666666666671E-2</v>
      </c>
    </row>
    <row r="136" spans="7:8" x14ac:dyDescent="0.25">
      <c r="G136">
        <v>8941</v>
      </c>
      <c r="H136" s="3">
        <v>7.2916666666666671E-2</v>
      </c>
    </row>
    <row r="137" spans="7:8" x14ac:dyDescent="0.25">
      <c r="G137">
        <v>372</v>
      </c>
      <c r="H137" s="3">
        <v>9.375E-2</v>
      </c>
    </row>
    <row r="138" spans="7:8" x14ac:dyDescent="0.25">
      <c r="G138">
        <v>8067</v>
      </c>
      <c r="H138" s="3">
        <v>9.375E-2</v>
      </c>
    </row>
    <row r="139" spans="7:8" x14ac:dyDescent="0.25">
      <c r="G139">
        <v>8787</v>
      </c>
      <c r="H139" s="3">
        <v>9.375E-2</v>
      </c>
    </row>
    <row r="140" spans="7:8" x14ac:dyDescent="0.25">
      <c r="G140">
        <v>7042</v>
      </c>
      <c r="H140" s="3">
        <v>0.10416666666666667</v>
      </c>
    </row>
    <row r="141" spans="7:8" x14ac:dyDescent="0.25">
      <c r="G141">
        <v>8428</v>
      </c>
      <c r="H141" s="3">
        <v>0.11458333333333333</v>
      </c>
    </row>
    <row r="142" spans="7:8" x14ac:dyDescent="0.25">
      <c r="G142">
        <v>8627</v>
      </c>
      <c r="H142" s="3">
        <v>0.11458333333333333</v>
      </c>
    </row>
    <row r="143" spans="7:8" x14ac:dyDescent="0.25">
      <c r="G143">
        <v>656</v>
      </c>
      <c r="H143" s="3">
        <v>0.13541666666666666</v>
      </c>
    </row>
    <row r="144" spans="7:8" x14ac:dyDescent="0.25">
      <c r="G144">
        <v>6095</v>
      </c>
      <c r="H144" s="3">
        <v>0.14583333333333334</v>
      </c>
    </row>
    <row r="145" spans="7:8" x14ac:dyDescent="0.25">
      <c r="G145">
        <v>5334</v>
      </c>
      <c r="H145" s="3">
        <v>0.15625</v>
      </c>
    </row>
    <row r="146" spans="7:8" x14ac:dyDescent="0.25">
      <c r="G146">
        <v>5849</v>
      </c>
      <c r="H146" s="3">
        <v>0.16666666666666666</v>
      </c>
    </row>
    <row r="147" spans="7:8" x14ac:dyDescent="0.25">
      <c r="G147">
        <v>1593</v>
      </c>
      <c r="H147" s="3">
        <v>0.19791666666666666</v>
      </c>
    </row>
    <row r="148" spans="7:8" x14ac:dyDescent="0.25">
      <c r="G148">
        <v>800</v>
      </c>
      <c r="H148" s="3">
        <v>0.21875</v>
      </c>
    </row>
    <row r="149" spans="7:8" x14ac:dyDescent="0.25">
      <c r="G149">
        <v>110</v>
      </c>
      <c r="H149" s="3">
        <v>0.4375</v>
      </c>
    </row>
    <row r="150" spans="7:8" x14ac:dyDescent="0.25">
      <c r="G150">
        <v>1599</v>
      </c>
      <c r="H150" s="3">
        <v>0.47916666666666669</v>
      </c>
    </row>
  </sheetData>
  <sortState xmlns:xlrd2="http://schemas.microsoft.com/office/spreadsheetml/2017/richdata2" ref="G2:H150">
    <sortCondition ref="H2:H150"/>
  </sortState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331B8-E468-4679-B5E7-D38CF076F072}">
  <dimension ref="A1:U206"/>
  <sheetViews>
    <sheetView zoomScale="80" zoomScaleNormal="80" workbookViewId="0">
      <selection sqref="A1:G63"/>
    </sheetView>
  </sheetViews>
  <sheetFormatPr defaultRowHeight="15" x14ac:dyDescent="0.25"/>
  <cols>
    <col min="1" max="1" width="22.140625" bestFit="1" customWidth="1"/>
    <col min="2" max="2" width="14.85546875" bestFit="1" customWidth="1"/>
    <col min="3" max="3" width="16.85546875" bestFit="1" customWidth="1"/>
    <col min="4" max="4" width="15.85546875" bestFit="1" customWidth="1"/>
    <col min="5" max="5" width="12.7109375" bestFit="1" customWidth="1"/>
    <col min="6" max="6" width="11.5703125" bestFit="1" customWidth="1"/>
    <col min="7" max="7" width="28.42578125" bestFit="1" customWidth="1"/>
    <col min="8" max="8" width="30.42578125" customWidth="1"/>
    <col min="9" max="9" width="28" bestFit="1" customWidth="1"/>
    <col min="13" max="13" width="16.5703125" customWidth="1"/>
    <col min="14" max="14" width="16" bestFit="1" customWidth="1"/>
    <col min="15" max="15" width="12.85546875" bestFit="1" customWidth="1"/>
    <col min="16" max="16" width="12.42578125" bestFit="1" customWidth="1"/>
    <col min="17" max="17" width="13.42578125" bestFit="1" customWidth="1"/>
    <col min="18" max="18" width="17" bestFit="1" customWidth="1"/>
    <col min="19" max="19" width="15.140625" bestFit="1" customWidth="1"/>
  </cols>
  <sheetData>
    <row r="1" spans="1:21" x14ac:dyDescent="0.25">
      <c r="A1" t="s">
        <v>342</v>
      </c>
      <c r="B1" t="s">
        <v>343</v>
      </c>
      <c r="C1" t="s">
        <v>346</v>
      </c>
      <c r="D1" t="s">
        <v>345</v>
      </c>
      <c r="E1" t="s">
        <v>344</v>
      </c>
      <c r="F1" t="s">
        <v>347</v>
      </c>
      <c r="G1" t="s">
        <v>378</v>
      </c>
      <c r="H1" s="5" t="s">
        <v>340</v>
      </c>
      <c r="I1" s="5" t="s">
        <v>352</v>
      </c>
      <c r="J1" s="5" t="s">
        <v>336</v>
      </c>
    </row>
    <row r="2" spans="1:21" x14ac:dyDescent="0.25">
      <c r="A2" t="s">
        <v>438</v>
      </c>
      <c r="B2">
        <v>2130</v>
      </c>
      <c r="C2">
        <v>562.95360000000005</v>
      </c>
      <c r="D2">
        <v>11.711</v>
      </c>
      <c r="E2">
        <v>181.61</v>
      </c>
      <c r="F2">
        <v>-1</v>
      </c>
      <c r="G2" t="s">
        <v>434</v>
      </c>
      <c r="M2" t="s">
        <v>367</v>
      </c>
    </row>
    <row r="3" spans="1:21" x14ac:dyDescent="0.25">
      <c r="A3" t="s">
        <v>438</v>
      </c>
      <c r="B3">
        <v>747</v>
      </c>
      <c r="C3">
        <v>518.96579999999994</v>
      </c>
      <c r="D3">
        <v>11.804</v>
      </c>
      <c r="E3">
        <v>164.83</v>
      </c>
      <c r="F3">
        <v>-1</v>
      </c>
      <c r="G3" t="s">
        <v>434</v>
      </c>
      <c r="M3" t="s">
        <v>368</v>
      </c>
    </row>
    <row r="4" spans="1:21" x14ac:dyDescent="0.25">
      <c r="A4" t="s">
        <v>438</v>
      </c>
      <c r="B4">
        <v>1413</v>
      </c>
      <c r="C4">
        <v>184.98519999999999</v>
      </c>
      <c r="D4">
        <v>11.164999999999999</v>
      </c>
      <c r="E4">
        <v>115.97</v>
      </c>
      <c r="F4">
        <v>-1</v>
      </c>
      <c r="G4" t="s">
        <v>439</v>
      </c>
      <c r="M4" t="s">
        <v>369</v>
      </c>
    </row>
    <row r="5" spans="1:21" x14ac:dyDescent="0.25">
      <c r="A5" t="s">
        <v>337</v>
      </c>
      <c r="B5">
        <v>6154</v>
      </c>
      <c r="C5">
        <v>526.96019999999999</v>
      </c>
      <c r="D5">
        <v>11.198</v>
      </c>
      <c r="E5">
        <v>186.47</v>
      </c>
      <c r="F5">
        <v>-1</v>
      </c>
      <c r="G5" t="s">
        <v>213</v>
      </c>
      <c r="M5" t="s">
        <v>370</v>
      </c>
    </row>
    <row r="6" spans="1:21" x14ac:dyDescent="0.25">
      <c r="A6" t="s">
        <v>337</v>
      </c>
      <c r="B6">
        <v>504</v>
      </c>
      <c r="C6">
        <v>462.92939999999999</v>
      </c>
      <c r="D6">
        <v>8.7780000000000005</v>
      </c>
      <c r="E6">
        <v>155.11000000000001</v>
      </c>
      <c r="F6">
        <v>-1</v>
      </c>
      <c r="G6" t="s">
        <v>182</v>
      </c>
      <c r="M6" t="s">
        <v>371</v>
      </c>
    </row>
    <row r="7" spans="1:21" x14ac:dyDescent="0.25">
      <c r="A7" t="s">
        <v>337</v>
      </c>
      <c r="B7">
        <v>1086</v>
      </c>
      <c r="C7">
        <v>462.93029999999999</v>
      </c>
      <c r="D7">
        <v>8.7059999999999995</v>
      </c>
      <c r="E7">
        <v>155.03</v>
      </c>
      <c r="F7">
        <v>-1</v>
      </c>
      <c r="G7" t="s">
        <v>182</v>
      </c>
      <c r="M7" t="s">
        <v>372</v>
      </c>
    </row>
    <row r="8" spans="1:21" x14ac:dyDescent="0.25">
      <c r="A8" t="s">
        <v>337</v>
      </c>
      <c r="B8">
        <v>2376</v>
      </c>
      <c r="C8">
        <v>462.92779999999999</v>
      </c>
      <c r="D8">
        <v>8.7080000000000002</v>
      </c>
      <c r="E8">
        <v>155.33000000000001</v>
      </c>
      <c r="F8">
        <v>-1</v>
      </c>
      <c r="G8" t="s">
        <v>182</v>
      </c>
      <c r="M8" t="s">
        <v>376</v>
      </c>
    </row>
    <row r="9" spans="1:21" x14ac:dyDescent="0.25">
      <c r="A9" t="s">
        <v>337</v>
      </c>
      <c r="B9">
        <v>3273</v>
      </c>
      <c r="C9">
        <v>462.93060000000003</v>
      </c>
      <c r="D9">
        <v>8.6419999999999995</v>
      </c>
      <c r="E9">
        <v>155.03</v>
      </c>
      <c r="F9">
        <v>-1</v>
      </c>
      <c r="G9" t="s">
        <v>182</v>
      </c>
    </row>
    <row r="10" spans="1:21" x14ac:dyDescent="0.25">
      <c r="A10" t="s">
        <v>337</v>
      </c>
      <c r="B10">
        <v>526</v>
      </c>
      <c r="C10">
        <v>512.95809999999994</v>
      </c>
      <c r="D10">
        <v>11.222</v>
      </c>
      <c r="E10">
        <v>174.34</v>
      </c>
      <c r="F10">
        <v>-1</v>
      </c>
      <c r="G10" t="s">
        <v>187</v>
      </c>
    </row>
    <row r="11" spans="1:21" x14ac:dyDescent="0.25">
      <c r="A11" t="s">
        <v>337</v>
      </c>
      <c r="B11">
        <v>121</v>
      </c>
      <c r="C11">
        <v>468.96809999999999</v>
      </c>
      <c r="D11">
        <v>11.222</v>
      </c>
      <c r="E11">
        <v>155.86000000000001</v>
      </c>
      <c r="F11">
        <v>-1</v>
      </c>
      <c r="G11" t="s">
        <v>153</v>
      </c>
      <c r="M11" t="s">
        <v>342</v>
      </c>
      <c r="N11" t="s">
        <v>343</v>
      </c>
      <c r="O11" t="s">
        <v>346</v>
      </c>
      <c r="P11" t="s">
        <v>345</v>
      </c>
      <c r="Q11" t="s">
        <v>344</v>
      </c>
      <c r="R11" t="s">
        <v>347</v>
      </c>
      <c r="S11" t="s">
        <v>378</v>
      </c>
      <c r="T11" t="s">
        <v>452</v>
      </c>
      <c r="U11" t="s">
        <v>453</v>
      </c>
    </row>
    <row r="12" spans="1:21" x14ac:dyDescent="0.25">
      <c r="A12" t="s">
        <v>337</v>
      </c>
      <c r="B12">
        <v>326</v>
      </c>
      <c r="C12">
        <v>612.95230000000004</v>
      </c>
      <c r="D12">
        <v>12.462999999999999</v>
      </c>
      <c r="E12">
        <v>192.14</v>
      </c>
      <c r="F12">
        <v>-1</v>
      </c>
      <c r="G12" t="s">
        <v>167</v>
      </c>
      <c r="M12" t="s">
        <v>456</v>
      </c>
      <c r="N12" t="s">
        <v>448</v>
      </c>
      <c r="P12">
        <v>10.199999999999999</v>
      </c>
      <c r="Q12" s="9">
        <v>165.4</v>
      </c>
      <c r="T12" t="s">
        <v>454</v>
      </c>
      <c r="U12" t="s">
        <v>455</v>
      </c>
    </row>
    <row r="13" spans="1:21" x14ac:dyDescent="0.25">
      <c r="A13" t="s">
        <v>337</v>
      </c>
      <c r="B13">
        <v>269</v>
      </c>
      <c r="C13">
        <v>568.96230000000003</v>
      </c>
      <c r="D13">
        <v>12.462999999999999</v>
      </c>
      <c r="E13">
        <v>172.43</v>
      </c>
      <c r="F13">
        <v>-1</v>
      </c>
      <c r="G13" t="s">
        <v>161</v>
      </c>
      <c r="M13" t="s">
        <v>456</v>
      </c>
      <c r="N13" t="s">
        <v>449</v>
      </c>
      <c r="P13">
        <v>9.6999999999999993</v>
      </c>
      <c r="Q13" s="9">
        <v>161</v>
      </c>
      <c r="T13" t="s">
        <v>454</v>
      </c>
      <c r="U13" t="s">
        <v>455</v>
      </c>
    </row>
    <row r="14" spans="1:21" x14ac:dyDescent="0.25">
      <c r="A14" t="s">
        <v>337</v>
      </c>
      <c r="B14">
        <v>75</v>
      </c>
      <c r="C14">
        <v>598.92380000000003</v>
      </c>
      <c r="D14">
        <v>11.861000000000001</v>
      </c>
      <c r="E14">
        <v>186.6</v>
      </c>
      <c r="F14">
        <v>-1</v>
      </c>
      <c r="G14" t="s">
        <v>149</v>
      </c>
    </row>
    <row r="15" spans="1:21" x14ac:dyDescent="0.25">
      <c r="A15" t="s">
        <v>337</v>
      </c>
      <c r="B15">
        <v>606</v>
      </c>
      <c r="C15">
        <v>598.92139999999995</v>
      </c>
      <c r="D15">
        <v>11.689</v>
      </c>
      <c r="E15">
        <v>184.57</v>
      </c>
      <c r="F15">
        <v>-1</v>
      </c>
      <c r="G15" t="s">
        <v>149</v>
      </c>
    </row>
    <row r="16" spans="1:21" x14ac:dyDescent="0.25">
      <c r="A16" t="s">
        <v>337</v>
      </c>
      <c r="B16">
        <v>237</v>
      </c>
      <c r="C16">
        <v>448.93180000000001</v>
      </c>
      <c r="D16">
        <v>9.5790000000000006</v>
      </c>
      <c r="E16">
        <v>159.79</v>
      </c>
      <c r="F16">
        <v>-1</v>
      </c>
      <c r="G16" t="s">
        <v>157</v>
      </c>
    </row>
    <row r="17" spans="1:18" x14ac:dyDescent="0.25">
      <c r="A17" t="s">
        <v>337</v>
      </c>
      <c r="B17">
        <v>44</v>
      </c>
      <c r="C17">
        <v>398.93599999999998</v>
      </c>
      <c r="D17">
        <v>8.51</v>
      </c>
      <c r="E17">
        <v>150.88</v>
      </c>
      <c r="F17">
        <v>-1</v>
      </c>
      <c r="G17" t="s">
        <v>146</v>
      </c>
    </row>
    <row r="18" spans="1:18" x14ac:dyDescent="0.25">
      <c r="A18" t="s">
        <v>337</v>
      </c>
      <c r="B18">
        <v>1985</v>
      </c>
      <c r="C18">
        <v>398.93430000000001</v>
      </c>
      <c r="D18">
        <v>8.2680000000000007</v>
      </c>
      <c r="E18">
        <v>149.22999999999999</v>
      </c>
      <c r="F18">
        <v>-1</v>
      </c>
      <c r="G18" t="s">
        <v>146</v>
      </c>
    </row>
    <row r="19" spans="1:18" x14ac:dyDescent="0.25">
      <c r="A19" t="s">
        <v>337</v>
      </c>
      <c r="B19">
        <v>8367</v>
      </c>
      <c r="C19">
        <v>462.9606</v>
      </c>
      <c r="D19">
        <v>10.441000000000001</v>
      </c>
      <c r="E19">
        <v>165.5</v>
      </c>
      <c r="F19">
        <v>-1</v>
      </c>
      <c r="G19" t="s">
        <v>217</v>
      </c>
    </row>
    <row r="20" spans="1:18" x14ac:dyDescent="0.25">
      <c r="A20" t="s">
        <v>337</v>
      </c>
      <c r="B20">
        <v>330</v>
      </c>
      <c r="C20">
        <v>418.97160000000002</v>
      </c>
      <c r="D20">
        <v>10.44</v>
      </c>
      <c r="E20">
        <v>147.38</v>
      </c>
      <c r="F20">
        <v>-1</v>
      </c>
      <c r="G20" t="s">
        <v>169</v>
      </c>
      <c r="O20" s="14"/>
      <c r="P20" s="14"/>
      <c r="Q20" s="14"/>
      <c r="R20" s="14"/>
    </row>
    <row r="21" spans="1:18" x14ac:dyDescent="0.25">
      <c r="A21" t="s">
        <v>337</v>
      </c>
      <c r="B21">
        <v>3331</v>
      </c>
      <c r="C21">
        <v>418.96940000000001</v>
      </c>
      <c r="D21">
        <v>13.012</v>
      </c>
      <c r="E21">
        <v>147.44</v>
      </c>
      <c r="F21">
        <v>-1</v>
      </c>
      <c r="G21" t="s">
        <v>169</v>
      </c>
      <c r="O21" s="15"/>
      <c r="P21" s="9"/>
      <c r="Q21" s="9"/>
      <c r="R21" s="9"/>
    </row>
    <row r="22" spans="1:18" x14ac:dyDescent="0.25">
      <c r="A22" t="s">
        <v>337</v>
      </c>
      <c r="B22">
        <v>373</v>
      </c>
      <c r="C22">
        <v>548.92589999999996</v>
      </c>
      <c r="D22">
        <v>11.215999999999999</v>
      </c>
      <c r="E22">
        <v>177.67</v>
      </c>
      <c r="F22">
        <v>-1</v>
      </c>
      <c r="G22" t="s">
        <v>173</v>
      </c>
      <c r="O22" s="15"/>
      <c r="P22" s="9"/>
      <c r="Q22" s="9"/>
      <c r="R22" s="9"/>
    </row>
    <row r="23" spans="1:18" x14ac:dyDescent="0.25">
      <c r="A23" t="s">
        <v>337</v>
      </c>
      <c r="B23">
        <v>906</v>
      </c>
      <c r="C23">
        <v>548.92470000000003</v>
      </c>
      <c r="D23">
        <v>11.038</v>
      </c>
      <c r="E23">
        <v>176.09</v>
      </c>
      <c r="F23">
        <v>-1</v>
      </c>
      <c r="G23" t="s">
        <v>173</v>
      </c>
      <c r="O23" s="15"/>
      <c r="P23" s="9"/>
      <c r="Q23" s="9"/>
      <c r="R23" s="9"/>
    </row>
    <row r="24" spans="1:18" x14ac:dyDescent="0.25">
      <c r="A24" t="s">
        <v>337</v>
      </c>
      <c r="B24">
        <v>4</v>
      </c>
      <c r="C24">
        <v>498.9307</v>
      </c>
      <c r="D24">
        <v>10.462999999999999</v>
      </c>
      <c r="E24">
        <v>168.82</v>
      </c>
      <c r="F24">
        <v>-1</v>
      </c>
      <c r="G24" t="s">
        <v>135</v>
      </c>
    </row>
    <row r="25" spans="1:18" x14ac:dyDescent="0.25">
      <c r="A25" t="s">
        <v>337</v>
      </c>
      <c r="B25">
        <v>5002</v>
      </c>
      <c r="C25">
        <v>498.92540000000002</v>
      </c>
      <c r="D25">
        <v>10.878</v>
      </c>
      <c r="E25">
        <v>168.77</v>
      </c>
      <c r="F25">
        <v>-1</v>
      </c>
      <c r="G25" t="s">
        <v>135</v>
      </c>
    </row>
    <row r="26" spans="1:18" x14ac:dyDescent="0.25">
      <c r="A26" t="s">
        <v>337</v>
      </c>
      <c r="B26">
        <v>1146</v>
      </c>
      <c r="C26">
        <v>712.94619999999998</v>
      </c>
      <c r="D26">
        <v>13.398999999999999</v>
      </c>
      <c r="E26">
        <v>209.85</v>
      </c>
      <c r="F26">
        <v>-1</v>
      </c>
      <c r="G26" t="s">
        <v>201</v>
      </c>
    </row>
    <row r="27" spans="1:18" x14ac:dyDescent="0.25">
      <c r="A27" t="s">
        <v>337</v>
      </c>
      <c r="B27">
        <v>6339</v>
      </c>
      <c r="C27">
        <v>712.9425</v>
      </c>
      <c r="D27">
        <v>13.397</v>
      </c>
      <c r="E27">
        <v>210.01</v>
      </c>
      <c r="F27">
        <v>-1</v>
      </c>
      <c r="G27" t="s">
        <v>201</v>
      </c>
    </row>
    <row r="28" spans="1:18" x14ac:dyDescent="0.25">
      <c r="A28" t="s">
        <v>337</v>
      </c>
      <c r="B28">
        <v>1233</v>
      </c>
      <c r="C28">
        <v>668.95590000000004</v>
      </c>
      <c r="D28">
        <v>13.398</v>
      </c>
      <c r="E28">
        <v>188.53</v>
      </c>
      <c r="F28">
        <v>-1</v>
      </c>
      <c r="G28" t="s">
        <v>206</v>
      </c>
    </row>
    <row r="29" spans="1:18" x14ac:dyDescent="0.25">
      <c r="A29" t="s">
        <v>337</v>
      </c>
      <c r="B29">
        <v>1025</v>
      </c>
      <c r="C29">
        <v>662.94979999999998</v>
      </c>
      <c r="D29">
        <v>12.965</v>
      </c>
      <c r="E29">
        <v>201.1</v>
      </c>
      <c r="F29">
        <v>-1</v>
      </c>
      <c r="G29" t="s">
        <v>194</v>
      </c>
    </row>
    <row r="30" spans="1:18" x14ac:dyDescent="0.25">
      <c r="A30" t="s">
        <v>337</v>
      </c>
      <c r="B30">
        <v>1113</v>
      </c>
      <c r="C30">
        <v>618.95809999999994</v>
      </c>
      <c r="D30">
        <v>12.965</v>
      </c>
      <c r="E30">
        <v>180.48</v>
      </c>
      <c r="F30">
        <v>-1</v>
      </c>
      <c r="G30" t="s">
        <v>199</v>
      </c>
    </row>
    <row r="31" spans="1:18" x14ac:dyDescent="0.25">
      <c r="A31" t="s">
        <v>337</v>
      </c>
      <c r="B31">
        <v>595</v>
      </c>
      <c r="C31">
        <v>562.95389999999998</v>
      </c>
      <c r="D31">
        <v>11.887</v>
      </c>
      <c r="E31">
        <v>183.18</v>
      </c>
      <c r="F31">
        <v>-1</v>
      </c>
      <c r="G31" t="s">
        <v>190</v>
      </c>
    </row>
    <row r="32" spans="1:18" x14ac:dyDescent="0.25">
      <c r="A32" t="s">
        <v>337</v>
      </c>
      <c r="B32">
        <v>2130</v>
      </c>
      <c r="C32">
        <v>562.95360000000005</v>
      </c>
      <c r="D32">
        <v>11.711</v>
      </c>
      <c r="E32">
        <v>181.61</v>
      </c>
      <c r="F32">
        <v>-1</v>
      </c>
      <c r="G32" t="s">
        <v>190</v>
      </c>
    </row>
    <row r="33" spans="1:10" x14ac:dyDescent="0.25">
      <c r="A33" t="s">
        <v>337</v>
      </c>
      <c r="B33">
        <v>377</v>
      </c>
      <c r="C33">
        <v>518.96569999999997</v>
      </c>
      <c r="D33">
        <v>11.885999999999999</v>
      </c>
      <c r="E33">
        <v>164.09</v>
      </c>
      <c r="F33">
        <v>-1</v>
      </c>
      <c r="G33" t="s">
        <v>176</v>
      </c>
    </row>
    <row r="34" spans="1:10" x14ac:dyDescent="0.25">
      <c r="A34" t="s">
        <v>337</v>
      </c>
      <c r="B34">
        <v>747</v>
      </c>
      <c r="C34">
        <v>518.96579999999994</v>
      </c>
      <c r="D34">
        <v>11.804</v>
      </c>
      <c r="E34">
        <v>164.83</v>
      </c>
      <c r="F34">
        <v>-1</v>
      </c>
      <c r="G34" t="s">
        <v>176</v>
      </c>
    </row>
    <row r="35" spans="1:10" x14ac:dyDescent="0.25">
      <c r="A35" t="s">
        <v>337</v>
      </c>
      <c r="B35">
        <v>1413</v>
      </c>
      <c r="C35">
        <v>184.98519999999999</v>
      </c>
      <c r="D35">
        <v>11.164999999999999</v>
      </c>
      <c r="E35">
        <v>115.97</v>
      </c>
      <c r="F35">
        <v>-1</v>
      </c>
      <c r="G35" t="s">
        <v>209</v>
      </c>
    </row>
    <row r="36" spans="1:10" x14ac:dyDescent="0.25">
      <c r="A36" t="s">
        <v>380</v>
      </c>
      <c r="B36">
        <v>469</v>
      </c>
      <c r="C36">
        <v>612.9529</v>
      </c>
      <c r="D36">
        <v>12.464</v>
      </c>
      <c r="E36">
        <v>216.09</v>
      </c>
      <c r="F36">
        <v>-1</v>
      </c>
      <c r="G36" t="s">
        <v>379</v>
      </c>
      <c r="H36" t="s">
        <v>348</v>
      </c>
      <c r="I36" t="s">
        <v>363</v>
      </c>
      <c r="J36" s="3">
        <v>0.39583333333333331</v>
      </c>
    </row>
    <row r="37" spans="1:10" x14ac:dyDescent="0.25">
      <c r="A37" t="s">
        <v>380</v>
      </c>
      <c r="B37">
        <v>608</v>
      </c>
      <c r="C37">
        <v>512.9579</v>
      </c>
      <c r="D37">
        <v>11.223000000000001</v>
      </c>
      <c r="E37">
        <v>199.2</v>
      </c>
      <c r="F37">
        <v>-1</v>
      </c>
      <c r="G37" t="s">
        <v>379</v>
      </c>
      <c r="H37" t="s">
        <v>348</v>
      </c>
      <c r="I37" t="s">
        <v>355</v>
      </c>
      <c r="J37" s="3">
        <v>0.38541666666666669</v>
      </c>
    </row>
    <row r="38" spans="1:10" x14ac:dyDescent="0.25">
      <c r="A38" t="s">
        <v>380</v>
      </c>
      <c r="B38">
        <v>1906</v>
      </c>
      <c r="C38">
        <v>712.94690000000003</v>
      </c>
      <c r="D38">
        <v>13.398999999999999</v>
      </c>
      <c r="E38">
        <v>232.76</v>
      </c>
      <c r="F38">
        <v>-1</v>
      </c>
      <c r="G38" t="s">
        <v>379</v>
      </c>
      <c r="H38" t="s">
        <v>348</v>
      </c>
      <c r="I38" t="s">
        <v>363</v>
      </c>
      <c r="J38" s="3">
        <v>0.35416666666666669</v>
      </c>
    </row>
    <row r="39" spans="1:10" x14ac:dyDescent="0.25">
      <c r="A39" t="s">
        <v>380</v>
      </c>
      <c r="B39">
        <v>2683</v>
      </c>
      <c r="C39">
        <v>562.95489999999995</v>
      </c>
      <c r="D39">
        <v>11.718</v>
      </c>
      <c r="E39">
        <v>205.98</v>
      </c>
      <c r="F39">
        <v>-1</v>
      </c>
      <c r="G39" t="s">
        <v>379</v>
      </c>
      <c r="H39" t="s">
        <v>348</v>
      </c>
      <c r="I39" t="s">
        <v>359</v>
      </c>
      <c r="J39" s="3">
        <v>0.29166666666666669</v>
      </c>
    </row>
    <row r="40" spans="1:10" x14ac:dyDescent="0.25">
      <c r="A40" t="s">
        <v>380</v>
      </c>
      <c r="B40">
        <v>1692</v>
      </c>
      <c r="C40">
        <v>314.93889999999999</v>
      </c>
      <c r="D40">
        <v>11.195</v>
      </c>
      <c r="E40">
        <v>166.76</v>
      </c>
      <c r="F40">
        <v>-1</v>
      </c>
      <c r="G40" t="s">
        <v>379</v>
      </c>
      <c r="H40" t="s">
        <v>348</v>
      </c>
      <c r="J40" s="3">
        <v>0.28125</v>
      </c>
    </row>
    <row r="41" spans="1:10" x14ac:dyDescent="0.25">
      <c r="A41" t="s">
        <v>380</v>
      </c>
      <c r="B41">
        <v>4751</v>
      </c>
      <c r="C41">
        <v>460.93110000000001</v>
      </c>
      <c r="D41">
        <v>9.4860000000000007</v>
      </c>
      <c r="E41">
        <v>159.59</v>
      </c>
      <c r="F41">
        <v>-1</v>
      </c>
      <c r="G41" t="s">
        <v>379</v>
      </c>
      <c r="H41" t="s">
        <v>348</v>
      </c>
      <c r="J41" s="3">
        <v>0.19791666666666666</v>
      </c>
    </row>
    <row r="42" spans="1:10" x14ac:dyDescent="0.25">
      <c r="A42" t="s">
        <v>380</v>
      </c>
      <c r="B42">
        <v>7712</v>
      </c>
      <c r="C42">
        <v>412.96350000000001</v>
      </c>
      <c r="D42">
        <v>9.5060000000000002</v>
      </c>
      <c r="E42">
        <v>182.09</v>
      </c>
      <c r="F42">
        <v>-1</v>
      </c>
      <c r="G42" t="s">
        <v>379</v>
      </c>
      <c r="H42" t="s">
        <v>348</v>
      </c>
      <c r="J42" s="3">
        <v>4.1666666666666664E-2</v>
      </c>
    </row>
    <row r="43" spans="1:10" x14ac:dyDescent="0.25">
      <c r="A43" t="s">
        <v>380</v>
      </c>
      <c r="B43">
        <v>2318</v>
      </c>
      <c r="C43">
        <v>514.92240000000004</v>
      </c>
      <c r="D43">
        <v>10.638</v>
      </c>
      <c r="E43">
        <v>172</v>
      </c>
      <c r="F43">
        <v>-1</v>
      </c>
      <c r="G43" t="s">
        <v>379</v>
      </c>
      <c r="H43" t="s">
        <v>348</v>
      </c>
      <c r="I43" t="s">
        <v>353</v>
      </c>
      <c r="J43" s="3">
        <v>4.1666666666666664E-2</v>
      </c>
    </row>
    <row r="44" spans="1:10" x14ac:dyDescent="0.25">
      <c r="A44" t="s">
        <v>380</v>
      </c>
      <c r="B44">
        <v>6811</v>
      </c>
      <c r="C44">
        <v>480.96789999999999</v>
      </c>
      <c r="D44">
        <v>10.542</v>
      </c>
      <c r="E44">
        <v>165.79</v>
      </c>
      <c r="F44">
        <v>-1</v>
      </c>
      <c r="G44" t="s">
        <v>379</v>
      </c>
      <c r="H44" t="s">
        <v>348</v>
      </c>
      <c r="I44" t="s">
        <v>354</v>
      </c>
      <c r="J44" s="3">
        <v>3.125E-2</v>
      </c>
    </row>
    <row r="45" spans="1:10" x14ac:dyDescent="0.25">
      <c r="A45" t="s">
        <v>380</v>
      </c>
      <c r="B45">
        <v>2216</v>
      </c>
      <c r="C45">
        <v>281.04289999999997</v>
      </c>
      <c r="D45">
        <v>2.9740000000000002</v>
      </c>
      <c r="E45">
        <v>153.5</v>
      </c>
      <c r="F45">
        <v>-1</v>
      </c>
      <c r="G45" t="s">
        <v>379</v>
      </c>
      <c r="H45" t="s">
        <v>348</v>
      </c>
      <c r="J45" s="3">
        <v>2.0833333333333332E-2</v>
      </c>
    </row>
    <row r="46" spans="1:10" x14ac:dyDescent="0.25">
      <c r="A46" t="s">
        <v>380</v>
      </c>
      <c r="B46">
        <v>1559</v>
      </c>
      <c r="C46">
        <v>662.94849999999997</v>
      </c>
      <c r="D46">
        <v>12.965</v>
      </c>
      <c r="E46">
        <v>224.53</v>
      </c>
      <c r="F46">
        <v>-1</v>
      </c>
      <c r="G46" t="s">
        <v>379</v>
      </c>
      <c r="H46" t="s">
        <v>348</v>
      </c>
      <c r="I46" t="s">
        <v>363</v>
      </c>
      <c r="J46" s="3">
        <v>2.0833333333333332E-2</v>
      </c>
    </row>
    <row r="47" spans="1:10" x14ac:dyDescent="0.25">
      <c r="A47" t="s">
        <v>380</v>
      </c>
      <c r="B47">
        <v>745</v>
      </c>
      <c r="C47">
        <v>498.92790000000002</v>
      </c>
      <c r="D47">
        <v>9.9039999999999999</v>
      </c>
      <c r="E47">
        <v>163.35</v>
      </c>
      <c r="F47">
        <v>-1</v>
      </c>
      <c r="G47" t="s">
        <v>379</v>
      </c>
      <c r="H47" t="s">
        <v>348</v>
      </c>
      <c r="J47" s="3">
        <v>1.0416666666666666E-2</v>
      </c>
    </row>
    <row r="48" spans="1:10" x14ac:dyDescent="0.25">
      <c r="A48" t="s">
        <v>380</v>
      </c>
      <c r="B48">
        <v>5135</v>
      </c>
      <c r="C48">
        <v>448.96550000000002</v>
      </c>
      <c r="D48">
        <v>10.999000000000001</v>
      </c>
      <c r="E48">
        <v>173.02</v>
      </c>
      <c r="F48">
        <v>-1</v>
      </c>
      <c r="G48" t="s">
        <v>379</v>
      </c>
      <c r="H48" t="s">
        <v>348</v>
      </c>
      <c r="J48" s="3">
        <v>1.0416666666666666E-2</v>
      </c>
    </row>
    <row r="49" spans="1:10" x14ac:dyDescent="0.25">
      <c r="A49" t="s">
        <v>381</v>
      </c>
      <c r="B49">
        <v>1599</v>
      </c>
      <c r="C49">
        <v>568.96220000000005</v>
      </c>
      <c r="D49">
        <v>12.464</v>
      </c>
      <c r="E49">
        <v>216.24</v>
      </c>
      <c r="F49">
        <v>-1</v>
      </c>
      <c r="G49" t="s">
        <v>379</v>
      </c>
      <c r="H49" t="s">
        <v>348</v>
      </c>
      <c r="I49" t="s">
        <v>363</v>
      </c>
      <c r="J49" s="3">
        <v>0.47916666666666669</v>
      </c>
    </row>
    <row r="50" spans="1:10" x14ac:dyDescent="0.25">
      <c r="A50" t="s">
        <v>381</v>
      </c>
      <c r="B50">
        <v>110</v>
      </c>
      <c r="C50">
        <v>468.9692</v>
      </c>
      <c r="D50">
        <v>11.222</v>
      </c>
      <c r="E50">
        <v>174.45</v>
      </c>
      <c r="F50">
        <v>-1</v>
      </c>
      <c r="G50" t="s">
        <v>379</v>
      </c>
      <c r="H50" t="s">
        <v>348</v>
      </c>
      <c r="I50" t="s">
        <v>363</v>
      </c>
      <c r="J50" s="3">
        <v>0.4375</v>
      </c>
    </row>
    <row r="51" spans="1:10" x14ac:dyDescent="0.25">
      <c r="A51" t="s">
        <v>381</v>
      </c>
      <c r="B51">
        <v>800</v>
      </c>
      <c r="C51">
        <v>518.96469999999999</v>
      </c>
      <c r="D51">
        <v>11.706</v>
      </c>
      <c r="E51">
        <v>181.59</v>
      </c>
      <c r="F51">
        <v>-1</v>
      </c>
      <c r="G51" t="s">
        <v>379</v>
      </c>
      <c r="H51" t="s">
        <v>348</v>
      </c>
      <c r="I51" t="s">
        <v>363</v>
      </c>
      <c r="J51" s="3">
        <v>0.21875</v>
      </c>
    </row>
    <row r="52" spans="1:10" x14ac:dyDescent="0.25">
      <c r="A52" t="s">
        <v>381</v>
      </c>
      <c r="B52">
        <v>1593</v>
      </c>
      <c r="C52">
        <v>518.96410000000003</v>
      </c>
      <c r="D52">
        <v>11.722</v>
      </c>
      <c r="E52">
        <v>165.49</v>
      </c>
      <c r="F52">
        <v>-1</v>
      </c>
      <c r="G52" t="s">
        <v>379</v>
      </c>
      <c r="H52" t="s">
        <v>348</v>
      </c>
      <c r="I52" t="s">
        <v>374</v>
      </c>
      <c r="J52" s="3">
        <v>0.19791666666666666</v>
      </c>
    </row>
    <row r="53" spans="1:10" x14ac:dyDescent="0.25">
      <c r="A53" t="s">
        <v>381</v>
      </c>
      <c r="B53">
        <v>5849</v>
      </c>
      <c r="C53">
        <v>718.95240000000001</v>
      </c>
      <c r="D53">
        <v>13.779</v>
      </c>
      <c r="E53">
        <v>218.55</v>
      </c>
      <c r="F53">
        <v>-1</v>
      </c>
      <c r="G53" t="s">
        <v>379</v>
      </c>
      <c r="H53" t="s">
        <v>348</v>
      </c>
      <c r="I53" t="s">
        <v>363</v>
      </c>
      <c r="J53" s="3">
        <v>0.16666666666666666</v>
      </c>
    </row>
    <row r="54" spans="1:10" x14ac:dyDescent="0.25">
      <c r="A54" t="s">
        <v>381</v>
      </c>
      <c r="B54">
        <v>656</v>
      </c>
      <c r="C54">
        <v>418.9717</v>
      </c>
      <c r="D54">
        <v>10.439</v>
      </c>
      <c r="E54">
        <v>165.57</v>
      </c>
      <c r="F54">
        <v>-1</v>
      </c>
      <c r="G54" t="s">
        <v>379</v>
      </c>
      <c r="H54" t="s">
        <v>348</v>
      </c>
      <c r="J54" s="3">
        <v>0.13541666666666666</v>
      </c>
    </row>
    <row r="55" spans="1:10" x14ac:dyDescent="0.25">
      <c r="A55" t="s">
        <v>381</v>
      </c>
      <c r="B55">
        <v>8428</v>
      </c>
      <c r="C55">
        <v>768.94830000000002</v>
      </c>
      <c r="D55">
        <v>14.117000000000001</v>
      </c>
      <c r="E55">
        <v>227.25</v>
      </c>
      <c r="F55">
        <v>-1</v>
      </c>
      <c r="G55" t="s">
        <v>379</v>
      </c>
      <c r="H55" t="s">
        <v>348</v>
      </c>
      <c r="I55" t="s">
        <v>363</v>
      </c>
      <c r="J55" s="3">
        <v>0.11458333333333333</v>
      </c>
    </row>
    <row r="56" spans="1:10" x14ac:dyDescent="0.25">
      <c r="A56" t="s">
        <v>381</v>
      </c>
      <c r="B56">
        <v>372</v>
      </c>
      <c r="C56">
        <v>518.96410000000003</v>
      </c>
      <c r="D56">
        <v>11.882999999999999</v>
      </c>
      <c r="E56">
        <v>183.28</v>
      </c>
      <c r="F56">
        <v>-1</v>
      </c>
      <c r="G56" t="s">
        <v>379</v>
      </c>
      <c r="H56" t="s">
        <v>348</v>
      </c>
      <c r="I56" t="s">
        <v>359</v>
      </c>
      <c r="J56" s="3">
        <v>9.375E-2</v>
      </c>
    </row>
    <row r="57" spans="1:10" x14ac:dyDescent="0.25">
      <c r="A57" t="s">
        <v>381</v>
      </c>
      <c r="B57">
        <v>2857</v>
      </c>
      <c r="C57">
        <v>564.91869999999994</v>
      </c>
      <c r="D57">
        <v>11.356</v>
      </c>
      <c r="E57">
        <v>181.89</v>
      </c>
      <c r="F57">
        <v>-1</v>
      </c>
      <c r="G57" t="s">
        <v>379</v>
      </c>
      <c r="H57" t="s">
        <v>348</v>
      </c>
      <c r="I57" t="s">
        <v>373</v>
      </c>
      <c r="J57" s="3">
        <v>4.1666666666666664E-2</v>
      </c>
    </row>
    <row r="58" spans="1:10" x14ac:dyDescent="0.25">
      <c r="A58" t="s">
        <v>381</v>
      </c>
      <c r="B58">
        <v>3511</v>
      </c>
      <c r="C58">
        <v>207.04220000000001</v>
      </c>
      <c r="D58">
        <v>3.4550000000000001</v>
      </c>
      <c r="E58">
        <v>145.44</v>
      </c>
      <c r="F58">
        <v>-1</v>
      </c>
      <c r="G58" t="s">
        <v>379</v>
      </c>
      <c r="H58" t="s">
        <v>348</v>
      </c>
      <c r="J58" s="3">
        <v>2.0833333333333332E-2</v>
      </c>
    </row>
    <row r="59" spans="1:10" x14ac:dyDescent="0.25">
      <c r="A59" t="s">
        <v>381</v>
      </c>
      <c r="B59">
        <v>1159</v>
      </c>
      <c r="C59">
        <v>229.0549</v>
      </c>
      <c r="D59">
        <v>5.9269999999999996</v>
      </c>
      <c r="E59">
        <v>151.66999999999999</v>
      </c>
      <c r="F59">
        <v>-1</v>
      </c>
      <c r="G59" t="s">
        <v>379</v>
      </c>
      <c r="H59" t="s">
        <v>348</v>
      </c>
      <c r="I59" t="s">
        <v>365</v>
      </c>
      <c r="J59" s="3">
        <v>2.0833333333333332E-2</v>
      </c>
    </row>
    <row r="60" spans="1:10" x14ac:dyDescent="0.25">
      <c r="A60" t="s">
        <v>381</v>
      </c>
      <c r="B60">
        <v>278</v>
      </c>
      <c r="C60">
        <v>589.01390000000004</v>
      </c>
      <c r="D60">
        <v>11.891999999999999</v>
      </c>
      <c r="E60">
        <v>219.96</v>
      </c>
      <c r="F60">
        <v>-1</v>
      </c>
      <c r="G60" t="s">
        <v>379</v>
      </c>
      <c r="H60" t="s">
        <v>348</v>
      </c>
      <c r="I60" t="s">
        <v>363</v>
      </c>
      <c r="J60" s="3">
        <v>2.0833333333333332E-2</v>
      </c>
    </row>
    <row r="61" spans="1:10" x14ac:dyDescent="0.25">
      <c r="A61" t="s">
        <v>381</v>
      </c>
      <c r="B61">
        <v>442</v>
      </c>
      <c r="C61">
        <v>618.95929999999998</v>
      </c>
      <c r="D61">
        <v>12.964</v>
      </c>
      <c r="E61">
        <v>201.05</v>
      </c>
      <c r="F61">
        <v>-1</v>
      </c>
      <c r="G61" t="s">
        <v>379</v>
      </c>
      <c r="H61" t="s">
        <v>348</v>
      </c>
      <c r="I61" t="s">
        <v>363</v>
      </c>
      <c r="J61" s="3">
        <v>2.0833333333333332E-2</v>
      </c>
    </row>
    <row r="62" spans="1:10" x14ac:dyDescent="0.25">
      <c r="A62" t="s">
        <v>381</v>
      </c>
      <c r="B62">
        <v>331</v>
      </c>
      <c r="C62">
        <v>323.08960000000002</v>
      </c>
      <c r="D62">
        <v>3.4620000000000002</v>
      </c>
      <c r="E62">
        <v>169.39</v>
      </c>
      <c r="F62">
        <v>-1</v>
      </c>
      <c r="G62" t="s">
        <v>379</v>
      </c>
      <c r="H62" t="s">
        <v>348</v>
      </c>
      <c r="J62" s="3">
        <v>1.0416666666666666E-2</v>
      </c>
    </row>
    <row r="63" spans="1:10" x14ac:dyDescent="0.25">
      <c r="A63" t="s">
        <v>381</v>
      </c>
      <c r="B63">
        <v>2866</v>
      </c>
      <c r="C63">
        <v>518.96420000000001</v>
      </c>
      <c r="D63">
        <v>11.891</v>
      </c>
      <c r="E63">
        <v>207.76</v>
      </c>
      <c r="F63">
        <v>-1</v>
      </c>
      <c r="G63" t="s">
        <v>379</v>
      </c>
      <c r="H63" t="s">
        <v>348</v>
      </c>
      <c r="I63" t="s">
        <v>359</v>
      </c>
      <c r="J63" s="3">
        <v>1.0416666666666666E-2</v>
      </c>
    </row>
    <row r="64" spans="1:10" x14ac:dyDescent="0.25">
      <c r="A64" t="s">
        <v>338</v>
      </c>
      <c r="B64">
        <v>5900</v>
      </c>
      <c r="C64">
        <v>598.91989999999998</v>
      </c>
      <c r="D64">
        <v>11.435</v>
      </c>
      <c r="E64">
        <v>180.7</v>
      </c>
      <c r="F64">
        <v>-1</v>
      </c>
      <c r="G64" t="s">
        <v>358</v>
      </c>
      <c r="H64" t="s">
        <v>358</v>
      </c>
      <c r="J64" s="3">
        <v>5.2083333333333336E-2</v>
      </c>
    </row>
    <row r="65" spans="1:10" x14ac:dyDescent="0.25">
      <c r="A65" t="s">
        <v>338</v>
      </c>
      <c r="B65">
        <v>567</v>
      </c>
      <c r="C65">
        <v>598.92129999999997</v>
      </c>
      <c r="D65">
        <v>11.592000000000001</v>
      </c>
      <c r="E65">
        <v>182.91</v>
      </c>
      <c r="F65">
        <v>-1</v>
      </c>
      <c r="G65" t="s">
        <v>358</v>
      </c>
      <c r="H65" t="s">
        <v>358</v>
      </c>
      <c r="J65" s="3">
        <v>0.33333333333333331</v>
      </c>
    </row>
    <row r="66" spans="1:10" x14ac:dyDescent="0.25">
      <c r="A66" t="s">
        <v>338</v>
      </c>
      <c r="B66">
        <v>2794</v>
      </c>
      <c r="C66">
        <v>548.92280000000005</v>
      </c>
      <c r="D66">
        <v>10.914999999999999</v>
      </c>
      <c r="E66">
        <v>173.96</v>
      </c>
      <c r="F66">
        <v>-1</v>
      </c>
      <c r="G66" t="s">
        <v>357</v>
      </c>
      <c r="H66" t="s">
        <v>357</v>
      </c>
      <c r="J66" s="3">
        <v>0.27083333333333331</v>
      </c>
    </row>
    <row r="67" spans="1:10" x14ac:dyDescent="0.25">
      <c r="A67" t="s">
        <v>338</v>
      </c>
      <c r="B67">
        <v>1428</v>
      </c>
      <c r="C67">
        <v>548.92520000000002</v>
      </c>
      <c r="D67">
        <v>10.94</v>
      </c>
      <c r="E67">
        <v>174.35</v>
      </c>
      <c r="F67">
        <v>-1</v>
      </c>
      <c r="G67" t="s">
        <v>357</v>
      </c>
      <c r="H67" t="s">
        <v>357</v>
      </c>
      <c r="J67" s="3">
        <v>0.10416666666666667</v>
      </c>
    </row>
    <row r="68" spans="1:10" x14ac:dyDescent="0.25">
      <c r="A68" t="s">
        <v>338</v>
      </c>
      <c r="B68">
        <v>3415</v>
      </c>
      <c r="C68">
        <v>498.92860000000002</v>
      </c>
      <c r="D68">
        <v>10.041</v>
      </c>
      <c r="E68">
        <v>162.75</v>
      </c>
      <c r="F68">
        <v>-1</v>
      </c>
      <c r="G68" t="s">
        <v>356</v>
      </c>
      <c r="H68" t="s">
        <v>356</v>
      </c>
      <c r="J68" s="3">
        <v>0.125</v>
      </c>
    </row>
    <row r="69" spans="1:10" x14ac:dyDescent="0.25">
      <c r="A69" t="s">
        <v>338</v>
      </c>
      <c r="B69">
        <v>37</v>
      </c>
      <c r="C69">
        <v>498.93020000000001</v>
      </c>
      <c r="D69">
        <v>10.18</v>
      </c>
      <c r="E69">
        <v>165.43</v>
      </c>
      <c r="F69">
        <v>-1</v>
      </c>
      <c r="G69" t="s">
        <v>356</v>
      </c>
      <c r="H69" t="s">
        <v>356</v>
      </c>
      <c r="J69" s="3">
        <v>7.2916666666666671E-2</v>
      </c>
    </row>
    <row r="70" spans="1:10" x14ac:dyDescent="0.25">
      <c r="A70" t="s">
        <v>338</v>
      </c>
      <c r="B70">
        <v>380</v>
      </c>
      <c r="C70">
        <v>498.93130000000002</v>
      </c>
      <c r="D70">
        <v>10.198</v>
      </c>
      <c r="E70">
        <v>164.28</v>
      </c>
      <c r="F70">
        <v>-1</v>
      </c>
      <c r="G70" t="s">
        <v>356</v>
      </c>
      <c r="H70" t="s">
        <v>356</v>
      </c>
      <c r="J70" s="3">
        <v>8.3333333333333329E-2</v>
      </c>
    </row>
    <row r="71" spans="1:10" x14ac:dyDescent="0.25">
      <c r="A71" t="s">
        <v>338</v>
      </c>
      <c r="B71">
        <v>62</v>
      </c>
      <c r="C71">
        <v>498.9298</v>
      </c>
      <c r="D71">
        <v>10.23</v>
      </c>
      <c r="E71">
        <v>166.44</v>
      </c>
      <c r="F71">
        <v>-1</v>
      </c>
      <c r="G71" t="s">
        <v>356</v>
      </c>
      <c r="H71" t="s">
        <v>356</v>
      </c>
      <c r="J71" s="3">
        <v>0.125</v>
      </c>
    </row>
    <row r="72" spans="1:10" x14ac:dyDescent="0.25">
      <c r="A72" t="s">
        <v>338</v>
      </c>
      <c r="B72">
        <v>1672</v>
      </c>
      <c r="C72">
        <v>498.928</v>
      </c>
      <c r="D72">
        <v>10.311999999999999</v>
      </c>
      <c r="E72">
        <v>163.51</v>
      </c>
      <c r="F72">
        <v>-1</v>
      </c>
      <c r="G72" t="s">
        <v>356</v>
      </c>
      <c r="H72" t="s">
        <v>356</v>
      </c>
      <c r="J72" s="3">
        <v>4.1666666666666664E-2</v>
      </c>
    </row>
    <row r="73" spans="1:10" x14ac:dyDescent="0.25">
      <c r="A73" t="s">
        <v>338</v>
      </c>
      <c r="B73">
        <v>8778</v>
      </c>
      <c r="C73">
        <v>285.04160000000002</v>
      </c>
      <c r="D73">
        <v>7.87</v>
      </c>
      <c r="E73">
        <v>145.27000000000001</v>
      </c>
      <c r="F73">
        <v>-1</v>
      </c>
      <c r="G73" t="s">
        <v>349</v>
      </c>
      <c r="H73" t="s">
        <v>349</v>
      </c>
      <c r="J73" s="3">
        <v>1.0416666666666666E-2</v>
      </c>
    </row>
    <row r="74" spans="1:10" x14ac:dyDescent="0.25">
      <c r="A74" t="s">
        <v>338</v>
      </c>
      <c r="B74">
        <v>7106</v>
      </c>
      <c r="C74">
        <v>309.03840000000002</v>
      </c>
      <c r="D74">
        <v>9.9480000000000004</v>
      </c>
      <c r="E74">
        <v>153.21</v>
      </c>
      <c r="F74">
        <v>-1</v>
      </c>
      <c r="G74" t="s">
        <v>349</v>
      </c>
      <c r="H74" t="s">
        <v>349</v>
      </c>
      <c r="J74" s="3">
        <v>1.0416666666666666E-2</v>
      </c>
    </row>
    <row r="75" spans="1:10" x14ac:dyDescent="0.25">
      <c r="A75" t="s">
        <v>338</v>
      </c>
      <c r="B75">
        <v>3811</v>
      </c>
      <c r="C75">
        <v>351.04930000000002</v>
      </c>
      <c r="D75">
        <v>10.946</v>
      </c>
      <c r="E75">
        <v>165.9</v>
      </c>
      <c r="F75">
        <v>-1</v>
      </c>
      <c r="G75" t="s">
        <v>349</v>
      </c>
      <c r="H75" t="s">
        <v>349</v>
      </c>
      <c r="J75" s="3">
        <v>6.25E-2</v>
      </c>
    </row>
    <row r="76" spans="1:10" x14ac:dyDescent="0.25">
      <c r="A76" t="s">
        <v>338</v>
      </c>
      <c r="B76">
        <v>3784</v>
      </c>
      <c r="C76">
        <v>259.04719999999998</v>
      </c>
      <c r="D76">
        <v>11.195</v>
      </c>
      <c r="E76">
        <v>144.51</v>
      </c>
      <c r="F76">
        <v>-1</v>
      </c>
      <c r="G76" t="s">
        <v>349</v>
      </c>
      <c r="H76" t="s">
        <v>349</v>
      </c>
      <c r="J76" s="3">
        <v>1.0416666666666666E-2</v>
      </c>
    </row>
    <row r="77" spans="1:10" x14ac:dyDescent="0.25">
      <c r="A77" t="s">
        <v>338</v>
      </c>
      <c r="B77">
        <v>4843</v>
      </c>
      <c r="C77">
        <v>359.03359999999998</v>
      </c>
      <c r="D77">
        <v>12.153</v>
      </c>
      <c r="E77">
        <v>162.16</v>
      </c>
      <c r="F77">
        <v>-1</v>
      </c>
      <c r="G77" t="s">
        <v>349</v>
      </c>
      <c r="H77" t="s">
        <v>349</v>
      </c>
      <c r="J77" s="3">
        <v>2.0833333333333332E-2</v>
      </c>
    </row>
    <row r="78" spans="1:10" x14ac:dyDescent="0.25">
      <c r="A78" t="s">
        <v>338</v>
      </c>
      <c r="B78">
        <v>7494</v>
      </c>
      <c r="C78">
        <v>279.04509999999999</v>
      </c>
      <c r="D78">
        <v>13.34</v>
      </c>
      <c r="E78">
        <v>148.27000000000001</v>
      </c>
      <c r="F78">
        <v>-1</v>
      </c>
      <c r="G78" t="s">
        <v>349</v>
      </c>
      <c r="H78" t="s">
        <v>349</v>
      </c>
      <c r="J78" s="3">
        <v>1.0416666666666666E-2</v>
      </c>
    </row>
    <row r="79" spans="1:10" x14ac:dyDescent="0.25">
      <c r="A79" t="s">
        <v>338</v>
      </c>
      <c r="B79">
        <v>2607</v>
      </c>
      <c r="C79">
        <v>289.03039999999999</v>
      </c>
      <c r="D79">
        <v>13.552</v>
      </c>
      <c r="E79">
        <v>155.69999999999999</v>
      </c>
      <c r="F79">
        <v>-1</v>
      </c>
      <c r="G79" t="s">
        <v>349</v>
      </c>
      <c r="H79" t="s">
        <v>349</v>
      </c>
      <c r="J79" s="3">
        <v>3.125E-2</v>
      </c>
    </row>
    <row r="80" spans="1:10" x14ac:dyDescent="0.25">
      <c r="A80" t="s">
        <v>338</v>
      </c>
      <c r="B80">
        <v>8329</v>
      </c>
      <c r="C80">
        <v>279.04750000000001</v>
      </c>
      <c r="D80">
        <v>14.507</v>
      </c>
      <c r="E80">
        <v>148.93</v>
      </c>
      <c r="F80">
        <v>-1</v>
      </c>
      <c r="G80" t="s">
        <v>349</v>
      </c>
      <c r="H80" t="s">
        <v>349</v>
      </c>
      <c r="J80" s="3">
        <v>1.0416666666666666E-2</v>
      </c>
    </row>
    <row r="81" spans="1:10" x14ac:dyDescent="0.25">
      <c r="A81" t="s">
        <v>338</v>
      </c>
      <c r="B81">
        <v>1088</v>
      </c>
      <c r="C81">
        <v>307.04129999999998</v>
      </c>
      <c r="D81">
        <v>14.917</v>
      </c>
      <c r="E81">
        <v>155.36000000000001</v>
      </c>
      <c r="F81">
        <v>-1</v>
      </c>
      <c r="G81" t="s">
        <v>349</v>
      </c>
      <c r="H81" t="s">
        <v>349</v>
      </c>
      <c r="J81" s="3">
        <v>1.0416666666666666E-2</v>
      </c>
    </row>
    <row r="82" spans="1:10" x14ac:dyDescent="0.25">
      <c r="A82" t="s">
        <v>338</v>
      </c>
      <c r="B82">
        <v>5482</v>
      </c>
      <c r="C82">
        <v>580.96040000000005</v>
      </c>
      <c r="D82">
        <v>15.146000000000001</v>
      </c>
      <c r="E82">
        <v>176.92</v>
      </c>
      <c r="F82">
        <v>-1</v>
      </c>
      <c r="G82" t="s">
        <v>349</v>
      </c>
      <c r="H82" t="s">
        <v>349</v>
      </c>
      <c r="J82" s="3">
        <v>4.1666666666666664E-2</v>
      </c>
    </row>
    <row r="83" spans="1:10" x14ac:dyDescent="0.25">
      <c r="A83" t="s">
        <v>338</v>
      </c>
      <c r="B83">
        <v>5551</v>
      </c>
      <c r="C83">
        <v>580.95600000000002</v>
      </c>
      <c r="D83">
        <v>15.2</v>
      </c>
      <c r="E83">
        <v>176.9</v>
      </c>
      <c r="F83">
        <v>-1</v>
      </c>
      <c r="G83" t="s">
        <v>349</v>
      </c>
      <c r="H83" t="s">
        <v>349</v>
      </c>
      <c r="J83" s="3">
        <v>3.125E-2</v>
      </c>
    </row>
    <row r="84" spans="1:10" x14ac:dyDescent="0.25">
      <c r="A84" t="s">
        <v>338</v>
      </c>
      <c r="B84">
        <v>8683</v>
      </c>
      <c r="C84">
        <v>894.94150000000002</v>
      </c>
      <c r="D84">
        <v>15.260999999999999</v>
      </c>
      <c r="E84">
        <v>210.6</v>
      </c>
      <c r="F84">
        <v>-1</v>
      </c>
      <c r="G84" t="s">
        <v>349</v>
      </c>
      <c r="H84" t="s">
        <v>349</v>
      </c>
      <c r="J84" s="3">
        <v>2.0833333333333332E-2</v>
      </c>
    </row>
    <row r="85" spans="1:10" x14ac:dyDescent="0.25">
      <c r="A85" t="s">
        <v>338</v>
      </c>
      <c r="B85">
        <v>4111</v>
      </c>
      <c r="C85">
        <v>580.96109999999999</v>
      </c>
      <c r="D85">
        <v>15.321</v>
      </c>
      <c r="E85">
        <v>176.75</v>
      </c>
      <c r="F85">
        <v>-1</v>
      </c>
      <c r="G85" t="s">
        <v>349</v>
      </c>
      <c r="H85" t="s">
        <v>349</v>
      </c>
      <c r="J85" s="3">
        <v>1.0416666666666666E-2</v>
      </c>
    </row>
    <row r="86" spans="1:10" x14ac:dyDescent="0.25">
      <c r="A86" t="s">
        <v>338</v>
      </c>
      <c r="B86">
        <v>8280</v>
      </c>
      <c r="C86">
        <v>580.95830000000001</v>
      </c>
      <c r="D86">
        <v>15.454000000000001</v>
      </c>
      <c r="E86">
        <v>171.29</v>
      </c>
      <c r="F86">
        <v>-1</v>
      </c>
      <c r="G86" t="s">
        <v>349</v>
      </c>
      <c r="H86" t="s">
        <v>349</v>
      </c>
      <c r="J86" s="3">
        <v>8.3333333333333329E-2</v>
      </c>
    </row>
    <row r="87" spans="1:10" x14ac:dyDescent="0.25">
      <c r="A87" t="s">
        <v>338</v>
      </c>
      <c r="B87">
        <v>6529</v>
      </c>
      <c r="C87">
        <v>794.94479999999999</v>
      </c>
      <c r="D87">
        <v>15.648999999999999</v>
      </c>
      <c r="E87">
        <v>196.9</v>
      </c>
      <c r="F87">
        <v>-1</v>
      </c>
      <c r="G87" t="s">
        <v>349</v>
      </c>
      <c r="H87" t="s">
        <v>349</v>
      </c>
      <c r="J87" s="3">
        <v>2.0833333333333332E-2</v>
      </c>
    </row>
    <row r="88" spans="1:10" x14ac:dyDescent="0.25">
      <c r="A88" t="s">
        <v>338</v>
      </c>
      <c r="B88">
        <v>8807</v>
      </c>
      <c r="C88">
        <v>644.95460000000003</v>
      </c>
      <c r="D88">
        <v>15.77</v>
      </c>
      <c r="E88">
        <v>177.54</v>
      </c>
      <c r="F88">
        <v>-1</v>
      </c>
      <c r="G88" t="s">
        <v>349</v>
      </c>
      <c r="H88" t="s">
        <v>349</v>
      </c>
      <c r="J88" s="3">
        <v>3.125E-2</v>
      </c>
    </row>
    <row r="89" spans="1:10" x14ac:dyDescent="0.25">
      <c r="A89" t="s">
        <v>338</v>
      </c>
      <c r="B89">
        <v>8448</v>
      </c>
      <c r="C89">
        <v>580.95749999999998</v>
      </c>
      <c r="D89">
        <v>15.81</v>
      </c>
      <c r="E89">
        <v>176.24</v>
      </c>
      <c r="F89">
        <v>-1</v>
      </c>
      <c r="G89" t="s">
        <v>349</v>
      </c>
      <c r="H89" t="s">
        <v>349</v>
      </c>
      <c r="J89" s="3">
        <v>2.0833333333333332E-2</v>
      </c>
    </row>
    <row r="90" spans="1:10" x14ac:dyDescent="0.25">
      <c r="A90" t="s">
        <v>338</v>
      </c>
      <c r="B90">
        <v>3954</v>
      </c>
      <c r="C90">
        <v>265.03199999999998</v>
      </c>
      <c r="D90">
        <v>15.821</v>
      </c>
      <c r="E90">
        <v>142.63999999999999</v>
      </c>
      <c r="F90">
        <v>-1</v>
      </c>
      <c r="G90" t="s">
        <v>349</v>
      </c>
      <c r="H90" t="s">
        <v>349</v>
      </c>
      <c r="J90" s="3">
        <v>1.0416666666666666E-2</v>
      </c>
    </row>
    <row r="91" spans="1:10" x14ac:dyDescent="0.25">
      <c r="A91" t="s">
        <v>338</v>
      </c>
      <c r="B91">
        <v>8553</v>
      </c>
      <c r="C91">
        <v>794.94479999999999</v>
      </c>
      <c r="D91">
        <v>15.888999999999999</v>
      </c>
      <c r="E91">
        <v>197</v>
      </c>
      <c r="F91">
        <v>-1</v>
      </c>
      <c r="G91" t="s">
        <v>349</v>
      </c>
      <c r="H91" t="s">
        <v>349</v>
      </c>
      <c r="J91" s="3">
        <v>1.0416666666666666E-2</v>
      </c>
    </row>
    <row r="92" spans="1:10" x14ac:dyDescent="0.25">
      <c r="A92" t="s">
        <v>338</v>
      </c>
      <c r="B92">
        <v>7436</v>
      </c>
      <c r="C92">
        <v>794.94240000000002</v>
      </c>
      <c r="D92">
        <v>16.026</v>
      </c>
      <c r="E92">
        <v>196.94</v>
      </c>
      <c r="F92">
        <v>-1</v>
      </c>
      <c r="G92" t="s">
        <v>349</v>
      </c>
      <c r="H92" t="s">
        <v>349</v>
      </c>
      <c r="J92" s="3">
        <v>5.2083333333333336E-2</v>
      </c>
    </row>
    <row r="93" spans="1:10" x14ac:dyDescent="0.25">
      <c r="A93" t="s">
        <v>338</v>
      </c>
      <c r="B93">
        <v>6017</v>
      </c>
      <c r="C93">
        <v>744.95299999999997</v>
      </c>
      <c r="D93">
        <v>16.067</v>
      </c>
      <c r="E93">
        <v>190.16</v>
      </c>
      <c r="F93">
        <v>-1</v>
      </c>
      <c r="G93" t="s">
        <v>349</v>
      </c>
      <c r="H93" t="s">
        <v>349</v>
      </c>
      <c r="J93" s="3">
        <v>1.0416666666666666E-2</v>
      </c>
    </row>
    <row r="94" spans="1:10" x14ac:dyDescent="0.25">
      <c r="A94" t="s">
        <v>338</v>
      </c>
      <c r="B94">
        <v>6816</v>
      </c>
      <c r="C94">
        <v>235.03870000000001</v>
      </c>
      <c r="D94">
        <v>16.093</v>
      </c>
      <c r="E94">
        <v>137.91999999999999</v>
      </c>
      <c r="F94">
        <v>-1</v>
      </c>
      <c r="G94" t="s">
        <v>349</v>
      </c>
      <c r="H94" t="s">
        <v>349</v>
      </c>
      <c r="J94" s="3">
        <v>1.0416666666666666E-2</v>
      </c>
    </row>
    <row r="95" spans="1:10" x14ac:dyDescent="0.25">
      <c r="A95" t="s">
        <v>338</v>
      </c>
      <c r="B95">
        <v>4547</v>
      </c>
      <c r="C95">
        <v>259.04840000000002</v>
      </c>
      <c r="D95">
        <v>16.138000000000002</v>
      </c>
      <c r="E95">
        <v>144.76</v>
      </c>
      <c r="F95">
        <v>-1</v>
      </c>
      <c r="G95" t="s">
        <v>349</v>
      </c>
      <c r="H95" t="s">
        <v>349</v>
      </c>
      <c r="J95" s="3">
        <v>1.0416666666666666E-2</v>
      </c>
    </row>
    <row r="96" spans="1:10" x14ac:dyDescent="0.25">
      <c r="A96" t="s">
        <v>338</v>
      </c>
      <c r="B96">
        <v>3518</v>
      </c>
      <c r="C96">
        <v>744.94849999999997</v>
      </c>
      <c r="D96">
        <v>16.172999999999998</v>
      </c>
      <c r="E96">
        <v>190.44</v>
      </c>
      <c r="F96">
        <v>-1</v>
      </c>
      <c r="G96" t="s">
        <v>349</v>
      </c>
      <c r="H96" t="s">
        <v>349</v>
      </c>
      <c r="J96" s="3">
        <v>1.0416666666666666E-2</v>
      </c>
    </row>
    <row r="97" spans="1:10" x14ac:dyDescent="0.25">
      <c r="A97" t="s">
        <v>338</v>
      </c>
      <c r="B97">
        <v>6177</v>
      </c>
      <c r="C97">
        <v>794.94320000000005</v>
      </c>
      <c r="D97">
        <v>16.22</v>
      </c>
      <c r="E97">
        <v>196.85</v>
      </c>
      <c r="F97">
        <v>-1</v>
      </c>
      <c r="G97" t="s">
        <v>349</v>
      </c>
      <c r="H97" t="s">
        <v>349</v>
      </c>
      <c r="J97" s="3">
        <v>4.1666666666666664E-2</v>
      </c>
    </row>
    <row r="98" spans="1:10" x14ac:dyDescent="0.25">
      <c r="A98" t="s">
        <v>339</v>
      </c>
      <c r="B98">
        <v>3787</v>
      </c>
      <c r="C98">
        <v>252.9983</v>
      </c>
      <c r="D98">
        <v>2.613</v>
      </c>
      <c r="E98">
        <v>140.54</v>
      </c>
      <c r="F98">
        <v>-1</v>
      </c>
      <c r="G98" t="s">
        <v>349</v>
      </c>
      <c r="H98" t="s">
        <v>349</v>
      </c>
      <c r="J98" s="3">
        <v>1.0416666666666666E-2</v>
      </c>
    </row>
    <row r="99" spans="1:10" x14ac:dyDescent="0.25">
      <c r="A99" t="s">
        <v>339</v>
      </c>
      <c r="B99">
        <v>8941</v>
      </c>
      <c r="C99">
        <v>368.97379999999998</v>
      </c>
      <c r="D99">
        <v>2.927</v>
      </c>
      <c r="E99">
        <v>172.61</v>
      </c>
      <c r="F99">
        <v>-1</v>
      </c>
      <c r="G99" t="s">
        <v>349</v>
      </c>
      <c r="H99" t="s">
        <v>349</v>
      </c>
      <c r="J99" s="3">
        <v>7.2916666666666671E-2</v>
      </c>
    </row>
    <row r="100" spans="1:10" x14ac:dyDescent="0.25">
      <c r="A100" t="s">
        <v>339</v>
      </c>
      <c r="B100">
        <v>5494</v>
      </c>
      <c r="C100">
        <v>248.97069999999999</v>
      </c>
      <c r="D100">
        <v>3.0339999999999998</v>
      </c>
      <c r="E100">
        <v>99.72</v>
      </c>
      <c r="F100">
        <v>-1</v>
      </c>
      <c r="G100" t="s">
        <v>349</v>
      </c>
      <c r="H100" t="s">
        <v>349</v>
      </c>
      <c r="J100" s="3">
        <v>1.0416666666666666E-2</v>
      </c>
    </row>
    <row r="101" spans="1:10" x14ac:dyDescent="0.25">
      <c r="A101" t="s">
        <v>339</v>
      </c>
      <c r="B101">
        <v>8627</v>
      </c>
      <c r="C101">
        <v>368.97629999999998</v>
      </c>
      <c r="D101">
        <v>4.0910000000000002</v>
      </c>
      <c r="E101">
        <v>172.86</v>
      </c>
      <c r="F101">
        <v>-1</v>
      </c>
      <c r="G101" t="s">
        <v>349</v>
      </c>
      <c r="H101" t="s">
        <v>349</v>
      </c>
      <c r="J101" s="3">
        <v>0.11458333333333333</v>
      </c>
    </row>
    <row r="102" spans="1:10" x14ac:dyDescent="0.25">
      <c r="A102" t="s">
        <v>339</v>
      </c>
      <c r="B102">
        <v>8951</v>
      </c>
      <c r="C102">
        <v>434.94779999999997</v>
      </c>
      <c r="D102">
        <v>4.2300000000000004</v>
      </c>
      <c r="E102">
        <v>183.55</v>
      </c>
      <c r="F102">
        <v>-1</v>
      </c>
      <c r="G102" t="s">
        <v>349</v>
      </c>
      <c r="H102" t="s">
        <v>349</v>
      </c>
      <c r="J102" s="3">
        <v>1.0416666666666666E-2</v>
      </c>
    </row>
    <row r="103" spans="1:10" x14ac:dyDescent="0.25">
      <c r="A103" t="s">
        <v>339</v>
      </c>
      <c r="B103">
        <v>5332</v>
      </c>
      <c r="C103">
        <v>287.03739999999999</v>
      </c>
      <c r="D103">
        <v>4.399</v>
      </c>
      <c r="E103">
        <v>145.19999999999999</v>
      </c>
      <c r="F103">
        <v>-1</v>
      </c>
      <c r="G103" t="s">
        <v>349</v>
      </c>
      <c r="H103" t="s">
        <v>349</v>
      </c>
      <c r="J103" s="3">
        <v>1.0416666666666666E-2</v>
      </c>
    </row>
    <row r="104" spans="1:10" x14ac:dyDescent="0.25">
      <c r="A104" t="s">
        <v>339</v>
      </c>
      <c r="B104">
        <v>5042</v>
      </c>
      <c r="C104">
        <v>328.98309999999998</v>
      </c>
      <c r="D104">
        <v>4.8129999999999997</v>
      </c>
      <c r="E104">
        <v>167.74</v>
      </c>
      <c r="F104">
        <v>-1</v>
      </c>
      <c r="G104" t="s">
        <v>349</v>
      </c>
      <c r="H104" t="s">
        <v>349</v>
      </c>
      <c r="J104" s="3">
        <v>1.0416666666666666E-2</v>
      </c>
    </row>
    <row r="105" spans="1:10" x14ac:dyDescent="0.25">
      <c r="A105" t="s">
        <v>339</v>
      </c>
      <c r="B105">
        <v>7155</v>
      </c>
      <c r="C105">
        <v>203.0001</v>
      </c>
      <c r="D105">
        <v>5.5789999999999997</v>
      </c>
      <c r="E105">
        <v>127.7</v>
      </c>
      <c r="F105">
        <v>-1</v>
      </c>
      <c r="G105" t="s">
        <v>349</v>
      </c>
      <c r="H105" t="s">
        <v>349</v>
      </c>
      <c r="J105" s="3">
        <v>1.0416666666666666E-2</v>
      </c>
    </row>
    <row r="106" spans="1:10" x14ac:dyDescent="0.25">
      <c r="A106" t="s">
        <v>339</v>
      </c>
      <c r="B106">
        <v>8600</v>
      </c>
      <c r="C106">
        <v>368.97489999999999</v>
      </c>
      <c r="D106">
        <v>5.7939999999999996</v>
      </c>
      <c r="E106">
        <v>173.04</v>
      </c>
      <c r="F106">
        <v>-1</v>
      </c>
      <c r="G106" t="s">
        <v>349</v>
      </c>
      <c r="H106" t="s">
        <v>349</v>
      </c>
      <c r="J106" s="3">
        <v>2.0833333333333332E-2</v>
      </c>
    </row>
    <row r="107" spans="1:10" x14ac:dyDescent="0.25">
      <c r="A107" t="s">
        <v>339</v>
      </c>
      <c r="B107">
        <v>8787</v>
      </c>
      <c r="C107">
        <v>434.94740000000002</v>
      </c>
      <c r="D107">
        <v>5.87</v>
      </c>
      <c r="E107">
        <v>183.82</v>
      </c>
      <c r="F107">
        <v>-1</v>
      </c>
      <c r="G107" t="s">
        <v>349</v>
      </c>
      <c r="H107" t="s">
        <v>349</v>
      </c>
      <c r="J107" s="3">
        <v>9.375E-2</v>
      </c>
    </row>
    <row r="108" spans="1:10" x14ac:dyDescent="0.25">
      <c r="A108" t="s">
        <v>339</v>
      </c>
      <c r="B108">
        <v>8485</v>
      </c>
      <c r="C108">
        <v>328.98520000000002</v>
      </c>
      <c r="D108">
        <v>6.02</v>
      </c>
      <c r="E108">
        <v>167.8</v>
      </c>
      <c r="F108">
        <v>-1</v>
      </c>
      <c r="G108" t="s">
        <v>349</v>
      </c>
      <c r="H108" t="s">
        <v>349</v>
      </c>
      <c r="J108" s="3">
        <v>1.0416666666666666E-2</v>
      </c>
    </row>
    <row r="109" spans="1:10" x14ac:dyDescent="0.25">
      <c r="A109" t="s">
        <v>339</v>
      </c>
      <c r="B109">
        <v>3044</v>
      </c>
      <c r="C109">
        <v>252.9991</v>
      </c>
      <c r="D109">
        <v>6.1950000000000003</v>
      </c>
      <c r="E109">
        <v>140.44999999999999</v>
      </c>
      <c r="F109">
        <v>-1</v>
      </c>
      <c r="G109" t="s">
        <v>349</v>
      </c>
      <c r="H109" t="s">
        <v>349</v>
      </c>
      <c r="J109" s="3">
        <v>1.0416666666666666E-2</v>
      </c>
    </row>
    <row r="110" spans="1:10" x14ac:dyDescent="0.25">
      <c r="A110" t="s">
        <v>339</v>
      </c>
      <c r="B110">
        <v>6614</v>
      </c>
      <c r="C110">
        <v>202.999</v>
      </c>
      <c r="D110">
        <v>6.3869999999999996</v>
      </c>
      <c r="E110">
        <v>127.74</v>
      </c>
      <c r="F110">
        <v>-1</v>
      </c>
      <c r="G110" t="s">
        <v>349</v>
      </c>
      <c r="H110" t="s">
        <v>349</v>
      </c>
      <c r="J110" s="3">
        <v>1.0416666666666666E-2</v>
      </c>
    </row>
    <row r="111" spans="1:10" x14ac:dyDescent="0.25">
      <c r="A111" t="s">
        <v>339</v>
      </c>
      <c r="B111">
        <v>5731</v>
      </c>
      <c r="C111">
        <v>252.99979999999999</v>
      </c>
      <c r="D111">
        <v>6.3979999999999997</v>
      </c>
      <c r="E111">
        <v>140.24</v>
      </c>
      <c r="F111">
        <v>-1</v>
      </c>
      <c r="G111" t="s">
        <v>349</v>
      </c>
      <c r="H111" t="s">
        <v>349</v>
      </c>
      <c r="J111" s="3">
        <v>1.0416666666666666E-2</v>
      </c>
    </row>
    <row r="112" spans="1:10" x14ac:dyDescent="0.25">
      <c r="A112" t="s">
        <v>339</v>
      </c>
      <c r="B112">
        <v>7250</v>
      </c>
      <c r="C112">
        <v>328.9821</v>
      </c>
      <c r="D112">
        <v>6.7370000000000001</v>
      </c>
      <c r="E112">
        <v>168.22</v>
      </c>
      <c r="F112">
        <v>-1</v>
      </c>
      <c r="G112" t="s">
        <v>349</v>
      </c>
      <c r="H112" t="s">
        <v>349</v>
      </c>
      <c r="J112" s="3">
        <v>1.0416666666666666E-2</v>
      </c>
    </row>
    <row r="113" spans="1:10" x14ac:dyDescent="0.25">
      <c r="A113" t="s">
        <v>339</v>
      </c>
      <c r="B113">
        <v>8712</v>
      </c>
      <c r="C113">
        <v>264.93060000000003</v>
      </c>
      <c r="D113">
        <v>7.0990000000000002</v>
      </c>
      <c r="E113">
        <v>146.83000000000001</v>
      </c>
      <c r="F113">
        <v>-1</v>
      </c>
      <c r="G113" t="s">
        <v>349</v>
      </c>
      <c r="H113" t="s">
        <v>349</v>
      </c>
      <c r="J113" s="3">
        <v>1.0416666666666666E-2</v>
      </c>
    </row>
    <row r="114" spans="1:10" x14ac:dyDescent="0.25">
      <c r="A114" t="s">
        <v>339</v>
      </c>
      <c r="B114">
        <v>8081</v>
      </c>
      <c r="C114">
        <v>278.99349999999998</v>
      </c>
      <c r="D114">
        <v>7.7649999999999997</v>
      </c>
      <c r="E114">
        <v>140.81</v>
      </c>
      <c r="F114">
        <v>-1</v>
      </c>
      <c r="G114" t="s">
        <v>349</v>
      </c>
      <c r="H114" t="s">
        <v>349</v>
      </c>
      <c r="J114" s="3">
        <v>2.0833333333333332E-2</v>
      </c>
    </row>
    <row r="115" spans="1:10" x14ac:dyDescent="0.25">
      <c r="A115" t="s">
        <v>339</v>
      </c>
      <c r="B115">
        <v>8154</v>
      </c>
      <c r="C115">
        <v>202.99950000000001</v>
      </c>
      <c r="D115">
        <v>9.0719999999999992</v>
      </c>
      <c r="E115">
        <v>127.62</v>
      </c>
      <c r="F115">
        <v>-1</v>
      </c>
      <c r="G115" t="s">
        <v>349</v>
      </c>
      <c r="H115" t="s">
        <v>349</v>
      </c>
      <c r="J115" s="3">
        <v>1.0416666666666666E-2</v>
      </c>
    </row>
    <row r="116" spans="1:10" x14ac:dyDescent="0.25">
      <c r="A116" t="s">
        <v>339</v>
      </c>
      <c r="B116">
        <v>8901</v>
      </c>
      <c r="C116">
        <v>301.05090000000001</v>
      </c>
      <c r="D116">
        <v>9.5489999999999995</v>
      </c>
      <c r="E116">
        <v>152</v>
      </c>
      <c r="F116">
        <v>-1</v>
      </c>
      <c r="G116" t="s">
        <v>349</v>
      </c>
      <c r="H116" t="s">
        <v>349</v>
      </c>
      <c r="J116" s="3">
        <v>2.0833333333333332E-2</v>
      </c>
    </row>
    <row r="117" spans="1:10" x14ac:dyDescent="0.25">
      <c r="A117" t="s">
        <v>339</v>
      </c>
      <c r="B117">
        <v>5693</v>
      </c>
      <c r="C117">
        <v>331.04379999999998</v>
      </c>
      <c r="D117">
        <v>9.6859999999999999</v>
      </c>
      <c r="E117">
        <v>166.96</v>
      </c>
      <c r="F117">
        <v>-1</v>
      </c>
      <c r="G117" t="s">
        <v>349</v>
      </c>
      <c r="H117" t="s">
        <v>349</v>
      </c>
      <c r="J117" s="3">
        <v>1.0416666666666666E-2</v>
      </c>
    </row>
    <row r="118" spans="1:10" x14ac:dyDescent="0.25">
      <c r="A118" t="s">
        <v>339</v>
      </c>
      <c r="B118">
        <v>7570</v>
      </c>
      <c r="C118">
        <v>217.04679999999999</v>
      </c>
      <c r="D118">
        <v>9.8000000000000007</v>
      </c>
      <c r="E118">
        <v>140.35</v>
      </c>
      <c r="F118">
        <v>-1</v>
      </c>
      <c r="G118" t="s">
        <v>349</v>
      </c>
      <c r="H118" t="s">
        <v>349</v>
      </c>
      <c r="J118" s="3">
        <v>1.0416666666666666E-2</v>
      </c>
    </row>
    <row r="119" spans="1:10" x14ac:dyDescent="0.25">
      <c r="A119" t="s">
        <v>339</v>
      </c>
      <c r="B119">
        <v>7592</v>
      </c>
      <c r="C119">
        <v>401.04919999999998</v>
      </c>
      <c r="D119">
        <v>9.83</v>
      </c>
      <c r="E119">
        <v>171.51</v>
      </c>
      <c r="F119">
        <v>-1</v>
      </c>
      <c r="G119" t="s">
        <v>349</v>
      </c>
      <c r="H119" t="s">
        <v>349</v>
      </c>
      <c r="J119" s="3">
        <v>1.0416666666666666E-2</v>
      </c>
    </row>
    <row r="120" spans="1:10" x14ac:dyDescent="0.25">
      <c r="A120" t="s">
        <v>339</v>
      </c>
      <c r="B120">
        <v>8854</v>
      </c>
      <c r="C120">
        <v>427.04219999999998</v>
      </c>
      <c r="D120">
        <v>10.358000000000001</v>
      </c>
      <c r="E120">
        <v>177.19</v>
      </c>
      <c r="F120">
        <v>-1</v>
      </c>
      <c r="G120" t="s">
        <v>349</v>
      </c>
      <c r="H120" t="s">
        <v>349</v>
      </c>
      <c r="J120" s="3">
        <v>1.0416666666666666E-2</v>
      </c>
    </row>
    <row r="121" spans="1:10" x14ac:dyDescent="0.25">
      <c r="A121" t="s">
        <v>339</v>
      </c>
      <c r="B121">
        <v>8884</v>
      </c>
      <c r="C121">
        <v>301.05020000000002</v>
      </c>
      <c r="D121">
        <v>10.77</v>
      </c>
      <c r="E121">
        <v>151.79</v>
      </c>
      <c r="F121">
        <v>-1</v>
      </c>
      <c r="G121" t="s">
        <v>349</v>
      </c>
      <c r="H121" t="s">
        <v>349</v>
      </c>
      <c r="J121" s="3">
        <v>2.0833333333333332E-2</v>
      </c>
    </row>
    <row r="122" spans="1:10" x14ac:dyDescent="0.25">
      <c r="A122" t="s">
        <v>339</v>
      </c>
      <c r="B122">
        <v>5771</v>
      </c>
      <c r="C122">
        <v>331.04430000000002</v>
      </c>
      <c r="D122">
        <v>10.856999999999999</v>
      </c>
      <c r="E122">
        <v>167.03</v>
      </c>
      <c r="F122">
        <v>-1</v>
      </c>
      <c r="G122" t="s">
        <v>349</v>
      </c>
      <c r="H122" t="s">
        <v>349</v>
      </c>
      <c r="J122" s="3">
        <v>2.0833333333333332E-2</v>
      </c>
    </row>
    <row r="123" spans="1:10" x14ac:dyDescent="0.25">
      <c r="A123" t="s">
        <v>339</v>
      </c>
      <c r="B123">
        <v>8495</v>
      </c>
      <c r="C123">
        <v>401.04899999999998</v>
      </c>
      <c r="D123">
        <v>11.234</v>
      </c>
      <c r="E123">
        <v>171.92</v>
      </c>
      <c r="F123">
        <v>-1</v>
      </c>
      <c r="G123" t="s">
        <v>349</v>
      </c>
      <c r="H123" t="s">
        <v>349</v>
      </c>
      <c r="J123" s="3">
        <v>2.0833333333333332E-2</v>
      </c>
    </row>
    <row r="124" spans="1:10" x14ac:dyDescent="0.25">
      <c r="A124" t="s">
        <v>339</v>
      </c>
      <c r="B124">
        <v>6337</v>
      </c>
      <c r="C124">
        <v>401.04450000000003</v>
      </c>
      <c r="D124">
        <v>11.597</v>
      </c>
      <c r="E124">
        <v>171.21</v>
      </c>
      <c r="F124">
        <v>-1</v>
      </c>
      <c r="G124" t="s">
        <v>349</v>
      </c>
      <c r="H124" t="s">
        <v>349</v>
      </c>
      <c r="J124" s="3">
        <v>3.125E-2</v>
      </c>
    </row>
    <row r="125" spans="1:10" x14ac:dyDescent="0.25">
      <c r="A125" t="s">
        <v>339</v>
      </c>
      <c r="B125">
        <v>7619</v>
      </c>
      <c r="C125">
        <v>401.04340000000002</v>
      </c>
      <c r="D125">
        <v>11.628</v>
      </c>
      <c r="E125">
        <v>166.11</v>
      </c>
      <c r="F125">
        <v>-1</v>
      </c>
      <c r="G125" t="s">
        <v>349</v>
      </c>
      <c r="H125" t="s">
        <v>349</v>
      </c>
      <c r="J125" s="3">
        <v>2.0833333333333332E-2</v>
      </c>
    </row>
    <row r="126" spans="1:10" x14ac:dyDescent="0.25">
      <c r="A126" t="s">
        <v>339</v>
      </c>
      <c r="B126">
        <v>7867</v>
      </c>
      <c r="C126">
        <v>301.0521</v>
      </c>
      <c r="D126">
        <v>11.635</v>
      </c>
      <c r="E126">
        <v>162.37</v>
      </c>
      <c r="F126">
        <v>-1</v>
      </c>
      <c r="G126" t="s">
        <v>349</v>
      </c>
      <c r="H126" t="s">
        <v>349</v>
      </c>
      <c r="J126" s="3">
        <v>2.0833333333333332E-2</v>
      </c>
    </row>
    <row r="127" spans="1:10" x14ac:dyDescent="0.25">
      <c r="A127" t="s">
        <v>339</v>
      </c>
      <c r="B127">
        <v>8785</v>
      </c>
      <c r="C127">
        <v>400.05009999999999</v>
      </c>
      <c r="D127">
        <v>11.723000000000001</v>
      </c>
      <c r="E127">
        <v>165.42</v>
      </c>
      <c r="F127">
        <v>-1</v>
      </c>
      <c r="G127" t="s">
        <v>349</v>
      </c>
      <c r="H127" t="s">
        <v>349</v>
      </c>
      <c r="J127" s="3">
        <v>6.25E-2</v>
      </c>
    </row>
    <row r="128" spans="1:10" x14ac:dyDescent="0.25">
      <c r="A128" t="s">
        <v>339</v>
      </c>
      <c r="B128">
        <v>8859</v>
      </c>
      <c r="C128">
        <v>355.04820000000001</v>
      </c>
      <c r="D128">
        <v>11.974</v>
      </c>
      <c r="E128">
        <v>161.76</v>
      </c>
      <c r="F128">
        <v>-1</v>
      </c>
      <c r="G128" t="s">
        <v>349</v>
      </c>
      <c r="H128" t="s">
        <v>349</v>
      </c>
      <c r="J128" s="3">
        <v>1.0416666666666666E-2</v>
      </c>
    </row>
    <row r="129" spans="1:10" x14ac:dyDescent="0.25">
      <c r="A129" t="s">
        <v>339</v>
      </c>
      <c r="B129">
        <v>7132</v>
      </c>
      <c r="C129">
        <v>329.05059999999997</v>
      </c>
      <c r="D129">
        <v>12.231999999999999</v>
      </c>
      <c r="E129">
        <v>160.58000000000001</v>
      </c>
      <c r="F129">
        <v>-1</v>
      </c>
      <c r="G129" t="s">
        <v>349</v>
      </c>
      <c r="H129" t="s">
        <v>349</v>
      </c>
      <c r="J129" s="3">
        <v>1.0416666666666666E-2</v>
      </c>
    </row>
    <row r="130" spans="1:10" x14ac:dyDescent="0.25">
      <c r="A130" t="s">
        <v>339</v>
      </c>
      <c r="B130">
        <v>8623</v>
      </c>
      <c r="C130">
        <v>400.0455</v>
      </c>
      <c r="D130">
        <v>12.371</v>
      </c>
      <c r="E130">
        <v>166.13</v>
      </c>
      <c r="F130">
        <v>-1</v>
      </c>
      <c r="G130" t="s">
        <v>349</v>
      </c>
      <c r="H130" t="s">
        <v>349</v>
      </c>
      <c r="J130" s="3">
        <v>2.0833333333333332E-2</v>
      </c>
    </row>
    <row r="131" spans="1:10" x14ac:dyDescent="0.25">
      <c r="A131" t="s">
        <v>339</v>
      </c>
      <c r="B131">
        <v>5214</v>
      </c>
      <c r="C131">
        <v>309.0401</v>
      </c>
      <c r="D131">
        <v>12.704000000000001</v>
      </c>
      <c r="E131">
        <v>154.41</v>
      </c>
      <c r="F131">
        <v>-1</v>
      </c>
      <c r="G131" t="s">
        <v>349</v>
      </c>
      <c r="H131" t="s">
        <v>349</v>
      </c>
      <c r="J131" s="3">
        <v>1.0416666666666666E-2</v>
      </c>
    </row>
    <row r="132" spans="1:10" x14ac:dyDescent="0.25">
      <c r="A132" t="s">
        <v>339</v>
      </c>
      <c r="B132">
        <v>8444</v>
      </c>
      <c r="C132">
        <v>357.04020000000003</v>
      </c>
      <c r="D132">
        <v>12.722</v>
      </c>
      <c r="E132">
        <v>171.03</v>
      </c>
      <c r="F132">
        <v>-1</v>
      </c>
      <c r="G132" t="s">
        <v>349</v>
      </c>
      <c r="H132" t="s">
        <v>349</v>
      </c>
      <c r="J132" s="3">
        <v>1.0416666666666666E-2</v>
      </c>
    </row>
    <row r="133" spans="1:10" x14ac:dyDescent="0.25">
      <c r="A133" t="s">
        <v>339</v>
      </c>
      <c r="B133">
        <v>6941</v>
      </c>
      <c r="C133">
        <v>402.03800000000001</v>
      </c>
      <c r="D133">
        <v>12.86</v>
      </c>
      <c r="E133">
        <v>171.49</v>
      </c>
      <c r="F133">
        <v>-1</v>
      </c>
      <c r="G133" t="s">
        <v>349</v>
      </c>
      <c r="H133" t="s">
        <v>349</v>
      </c>
      <c r="J133" s="3">
        <v>1.0416666666666666E-2</v>
      </c>
    </row>
    <row r="134" spans="1:10" x14ac:dyDescent="0.25">
      <c r="A134" t="s">
        <v>339</v>
      </c>
      <c r="B134">
        <v>7206</v>
      </c>
      <c r="C134">
        <v>357.03870000000001</v>
      </c>
      <c r="D134">
        <v>12.939</v>
      </c>
      <c r="E134">
        <v>171.45</v>
      </c>
      <c r="F134">
        <v>-1</v>
      </c>
      <c r="G134" t="s">
        <v>349</v>
      </c>
      <c r="H134" t="s">
        <v>349</v>
      </c>
      <c r="J134" s="3">
        <v>1.0416666666666666E-2</v>
      </c>
    </row>
    <row r="135" spans="1:10" x14ac:dyDescent="0.25">
      <c r="A135" t="s">
        <v>339</v>
      </c>
      <c r="B135">
        <v>3112</v>
      </c>
      <c r="C135">
        <v>357.0403</v>
      </c>
      <c r="D135">
        <v>13.087999999999999</v>
      </c>
      <c r="E135">
        <v>171.33</v>
      </c>
      <c r="F135">
        <v>-1</v>
      </c>
      <c r="G135" t="s">
        <v>349</v>
      </c>
      <c r="H135" t="s">
        <v>349</v>
      </c>
      <c r="J135" s="3">
        <v>1.0416666666666666E-2</v>
      </c>
    </row>
    <row r="136" spans="1:10" x14ac:dyDescent="0.25">
      <c r="A136" t="s">
        <v>339</v>
      </c>
      <c r="B136">
        <v>6641</v>
      </c>
      <c r="C136">
        <v>265.02620000000002</v>
      </c>
      <c r="D136">
        <v>13.151</v>
      </c>
      <c r="E136">
        <v>141.07</v>
      </c>
      <c r="F136">
        <v>-1</v>
      </c>
      <c r="G136" t="s">
        <v>349</v>
      </c>
      <c r="H136" t="s">
        <v>349</v>
      </c>
      <c r="J136" s="3">
        <v>1.0416666666666666E-2</v>
      </c>
    </row>
    <row r="137" spans="1:10" x14ac:dyDescent="0.25">
      <c r="A137" t="s">
        <v>339</v>
      </c>
      <c r="B137">
        <v>5651</v>
      </c>
      <c r="C137">
        <v>301.05439999999999</v>
      </c>
      <c r="D137">
        <v>13.204000000000001</v>
      </c>
      <c r="E137">
        <v>152.47</v>
      </c>
      <c r="F137">
        <v>-1</v>
      </c>
      <c r="G137" t="s">
        <v>349</v>
      </c>
      <c r="H137" t="s">
        <v>349</v>
      </c>
      <c r="J137" s="3">
        <v>6.25E-2</v>
      </c>
    </row>
    <row r="138" spans="1:10" x14ac:dyDescent="0.25">
      <c r="A138" t="s">
        <v>339</v>
      </c>
      <c r="B138">
        <v>6222</v>
      </c>
      <c r="C138">
        <v>400.04880000000003</v>
      </c>
      <c r="D138">
        <v>13.247999999999999</v>
      </c>
      <c r="E138">
        <v>166.05</v>
      </c>
      <c r="F138">
        <v>-1</v>
      </c>
      <c r="G138" t="s">
        <v>349</v>
      </c>
      <c r="H138" t="s">
        <v>349</v>
      </c>
      <c r="J138" s="3">
        <v>1.0416666666666666E-2</v>
      </c>
    </row>
    <row r="139" spans="1:10" x14ac:dyDescent="0.25">
      <c r="A139" t="s">
        <v>339</v>
      </c>
      <c r="B139">
        <v>1064</v>
      </c>
      <c r="C139">
        <v>307.04300000000001</v>
      </c>
      <c r="D139">
        <v>13.468</v>
      </c>
      <c r="E139">
        <v>155.13999999999999</v>
      </c>
      <c r="F139">
        <v>-1</v>
      </c>
      <c r="G139" t="s">
        <v>349</v>
      </c>
      <c r="H139" t="s">
        <v>349</v>
      </c>
      <c r="J139" s="3">
        <v>2.0833333333333332E-2</v>
      </c>
    </row>
    <row r="140" spans="1:10" x14ac:dyDescent="0.25">
      <c r="A140" t="s">
        <v>339</v>
      </c>
      <c r="B140">
        <v>7199</v>
      </c>
      <c r="C140">
        <v>357.03919999999999</v>
      </c>
      <c r="D140">
        <v>13.565</v>
      </c>
      <c r="E140">
        <v>171.83</v>
      </c>
      <c r="F140">
        <v>-1</v>
      </c>
      <c r="G140" t="s">
        <v>349</v>
      </c>
      <c r="H140" t="s">
        <v>349</v>
      </c>
      <c r="J140" s="3">
        <v>1.0416666666666666E-2</v>
      </c>
    </row>
    <row r="141" spans="1:10" x14ac:dyDescent="0.25">
      <c r="A141" t="s">
        <v>339</v>
      </c>
      <c r="B141">
        <v>4538</v>
      </c>
      <c r="C141">
        <v>329.04989999999998</v>
      </c>
      <c r="D141">
        <v>13.625</v>
      </c>
      <c r="E141">
        <v>160.61000000000001</v>
      </c>
      <c r="F141">
        <v>-1</v>
      </c>
      <c r="G141" t="s">
        <v>349</v>
      </c>
      <c r="H141" t="s">
        <v>349</v>
      </c>
      <c r="J141" s="3">
        <v>1.0416666666666666E-2</v>
      </c>
    </row>
    <row r="142" spans="1:10" x14ac:dyDescent="0.25">
      <c r="A142" t="s">
        <v>339</v>
      </c>
      <c r="B142">
        <v>6787</v>
      </c>
      <c r="C142">
        <v>401.04289999999997</v>
      </c>
      <c r="D142">
        <v>13.696999999999999</v>
      </c>
      <c r="E142">
        <v>165.75</v>
      </c>
      <c r="F142">
        <v>-1</v>
      </c>
      <c r="G142" t="s">
        <v>349</v>
      </c>
      <c r="H142" t="s">
        <v>349</v>
      </c>
      <c r="J142" s="3">
        <v>4.1666666666666664E-2</v>
      </c>
    </row>
    <row r="143" spans="1:10" x14ac:dyDescent="0.25">
      <c r="A143" t="s">
        <v>339</v>
      </c>
      <c r="B143">
        <v>5676</v>
      </c>
      <c r="C143">
        <v>302.04849999999999</v>
      </c>
      <c r="D143">
        <v>13.877000000000001</v>
      </c>
      <c r="E143">
        <v>162.75</v>
      </c>
      <c r="F143">
        <v>-1</v>
      </c>
      <c r="G143" t="s">
        <v>349</v>
      </c>
      <c r="H143" t="s">
        <v>349</v>
      </c>
      <c r="J143" s="3">
        <v>1.0416666666666666E-2</v>
      </c>
    </row>
    <row r="144" spans="1:10" x14ac:dyDescent="0.25">
      <c r="A144" t="s">
        <v>339</v>
      </c>
      <c r="B144">
        <v>6612</v>
      </c>
      <c r="C144">
        <v>357.03719999999998</v>
      </c>
      <c r="D144">
        <v>13.927</v>
      </c>
      <c r="E144">
        <v>171.53</v>
      </c>
      <c r="F144">
        <v>-1</v>
      </c>
      <c r="G144" t="s">
        <v>349</v>
      </c>
      <c r="H144" t="s">
        <v>349</v>
      </c>
      <c r="J144" s="3">
        <v>2.0833333333333332E-2</v>
      </c>
    </row>
    <row r="145" spans="1:10" x14ac:dyDescent="0.25">
      <c r="A145" t="s">
        <v>339</v>
      </c>
      <c r="B145">
        <v>8157</v>
      </c>
      <c r="C145">
        <v>191.01859999999999</v>
      </c>
      <c r="D145">
        <v>13.957000000000001</v>
      </c>
      <c r="E145">
        <v>127.49</v>
      </c>
      <c r="F145">
        <v>-1</v>
      </c>
      <c r="G145" t="s">
        <v>349</v>
      </c>
      <c r="H145" t="s">
        <v>349</v>
      </c>
      <c r="J145" s="3">
        <v>1.0416666666666666E-2</v>
      </c>
    </row>
    <row r="146" spans="1:10" x14ac:dyDescent="0.25">
      <c r="A146" t="s">
        <v>339</v>
      </c>
      <c r="B146">
        <v>3130</v>
      </c>
      <c r="C146">
        <v>350.05</v>
      </c>
      <c r="D146">
        <v>13.965999999999999</v>
      </c>
      <c r="E146">
        <v>165.95</v>
      </c>
      <c r="F146">
        <v>-1</v>
      </c>
      <c r="G146" t="s">
        <v>349</v>
      </c>
      <c r="H146" t="s">
        <v>349</v>
      </c>
      <c r="J146" s="3">
        <v>2.0833333333333332E-2</v>
      </c>
    </row>
    <row r="147" spans="1:10" x14ac:dyDescent="0.25">
      <c r="A147" t="s">
        <v>339</v>
      </c>
      <c r="B147">
        <v>2170</v>
      </c>
      <c r="C147">
        <v>231.05189999999999</v>
      </c>
      <c r="D147">
        <v>13.993</v>
      </c>
      <c r="E147">
        <v>140.47999999999999</v>
      </c>
      <c r="F147">
        <v>-1</v>
      </c>
      <c r="G147" t="s">
        <v>349</v>
      </c>
      <c r="H147" t="s">
        <v>349</v>
      </c>
      <c r="J147" s="3">
        <v>1.0416666666666666E-2</v>
      </c>
    </row>
    <row r="148" spans="1:10" x14ac:dyDescent="0.25">
      <c r="A148" t="s">
        <v>339</v>
      </c>
      <c r="B148">
        <v>384</v>
      </c>
      <c r="C148">
        <v>307.04259999999999</v>
      </c>
      <c r="D148">
        <v>14.063000000000001</v>
      </c>
      <c r="E148">
        <v>155.29</v>
      </c>
      <c r="F148">
        <v>-1</v>
      </c>
      <c r="G148" t="s">
        <v>349</v>
      </c>
      <c r="H148" t="s">
        <v>349</v>
      </c>
      <c r="J148" s="3">
        <v>1.0416666666666666E-2</v>
      </c>
    </row>
    <row r="149" spans="1:10" x14ac:dyDescent="0.25">
      <c r="A149" t="s">
        <v>339</v>
      </c>
      <c r="B149">
        <v>3450</v>
      </c>
      <c r="C149">
        <v>331.04379999999998</v>
      </c>
      <c r="D149">
        <v>14.12</v>
      </c>
      <c r="E149">
        <v>160.44999999999999</v>
      </c>
      <c r="F149">
        <v>-1</v>
      </c>
      <c r="G149" t="s">
        <v>349</v>
      </c>
      <c r="H149" t="s">
        <v>349</v>
      </c>
      <c r="J149" s="3">
        <v>1.0416666666666666E-2</v>
      </c>
    </row>
    <row r="150" spans="1:10" x14ac:dyDescent="0.25">
      <c r="A150" t="s">
        <v>339</v>
      </c>
      <c r="B150">
        <v>1116</v>
      </c>
      <c r="C150">
        <v>307.04329999999999</v>
      </c>
      <c r="D150">
        <v>14.23</v>
      </c>
      <c r="E150">
        <v>155.29</v>
      </c>
      <c r="F150">
        <v>-1</v>
      </c>
      <c r="G150" t="s">
        <v>349</v>
      </c>
      <c r="H150" t="s">
        <v>349</v>
      </c>
      <c r="J150" s="3">
        <v>1.0416666666666666E-2</v>
      </c>
    </row>
    <row r="151" spans="1:10" x14ac:dyDescent="0.25">
      <c r="A151" t="s">
        <v>339</v>
      </c>
      <c r="B151">
        <v>2526</v>
      </c>
      <c r="C151">
        <v>350.05200000000002</v>
      </c>
      <c r="D151">
        <v>14.3</v>
      </c>
      <c r="E151">
        <v>165.83</v>
      </c>
      <c r="F151">
        <v>-1</v>
      </c>
      <c r="G151" t="s">
        <v>349</v>
      </c>
      <c r="H151" t="s">
        <v>349</v>
      </c>
      <c r="J151" s="3">
        <v>1.0416666666666666E-2</v>
      </c>
    </row>
    <row r="152" spans="1:10" x14ac:dyDescent="0.25">
      <c r="A152" t="s">
        <v>339</v>
      </c>
      <c r="B152">
        <v>8819</v>
      </c>
      <c r="C152">
        <v>401.0471</v>
      </c>
      <c r="D152">
        <v>14.321999999999999</v>
      </c>
      <c r="E152">
        <v>165.59</v>
      </c>
      <c r="F152">
        <v>-1</v>
      </c>
      <c r="G152" t="s">
        <v>349</v>
      </c>
      <c r="H152" t="s">
        <v>349</v>
      </c>
      <c r="J152" s="3">
        <v>1.0416666666666666E-2</v>
      </c>
    </row>
    <row r="153" spans="1:10" x14ac:dyDescent="0.25">
      <c r="A153" t="s">
        <v>339</v>
      </c>
      <c r="B153">
        <v>3826</v>
      </c>
      <c r="C153">
        <v>350.05160000000001</v>
      </c>
      <c r="D153">
        <v>14.352</v>
      </c>
      <c r="E153">
        <v>166.04</v>
      </c>
      <c r="F153">
        <v>-1</v>
      </c>
      <c r="G153" t="s">
        <v>349</v>
      </c>
      <c r="H153" t="s">
        <v>349</v>
      </c>
      <c r="J153" s="3">
        <v>3.125E-2</v>
      </c>
    </row>
    <row r="154" spans="1:10" x14ac:dyDescent="0.25">
      <c r="A154" t="s">
        <v>339</v>
      </c>
      <c r="B154">
        <v>3021</v>
      </c>
      <c r="C154">
        <v>331.04539999999997</v>
      </c>
      <c r="D154">
        <v>14.375999999999999</v>
      </c>
      <c r="E154">
        <v>160.71</v>
      </c>
      <c r="F154">
        <v>-1</v>
      </c>
      <c r="G154" t="s">
        <v>349</v>
      </c>
      <c r="H154" t="s">
        <v>349</v>
      </c>
      <c r="J154" s="3">
        <v>1.0416666666666666E-2</v>
      </c>
    </row>
    <row r="155" spans="1:10" x14ac:dyDescent="0.25">
      <c r="A155" t="s">
        <v>339</v>
      </c>
      <c r="B155">
        <v>2992</v>
      </c>
      <c r="C155">
        <v>350.05110000000002</v>
      </c>
      <c r="D155">
        <v>14.823</v>
      </c>
      <c r="E155">
        <v>165.92</v>
      </c>
      <c r="F155">
        <v>-1</v>
      </c>
      <c r="G155" t="s">
        <v>349</v>
      </c>
      <c r="H155" t="s">
        <v>349</v>
      </c>
      <c r="J155" s="3">
        <v>1.0416666666666666E-2</v>
      </c>
    </row>
    <row r="156" spans="1:10" x14ac:dyDescent="0.25">
      <c r="A156" t="s">
        <v>339</v>
      </c>
      <c r="B156">
        <v>2919</v>
      </c>
      <c r="C156">
        <v>289.03109999999998</v>
      </c>
      <c r="D156">
        <v>14.976000000000001</v>
      </c>
      <c r="E156">
        <v>155.76</v>
      </c>
      <c r="F156">
        <v>-1</v>
      </c>
      <c r="G156" t="s">
        <v>349</v>
      </c>
      <c r="H156" t="s">
        <v>349</v>
      </c>
      <c r="J156" s="3">
        <v>1.0416666666666666E-2</v>
      </c>
    </row>
    <row r="157" spans="1:10" x14ac:dyDescent="0.25">
      <c r="A157" t="s">
        <v>339</v>
      </c>
      <c r="B157">
        <v>451</v>
      </c>
      <c r="C157">
        <v>305.0489</v>
      </c>
      <c r="D157">
        <v>14.989000000000001</v>
      </c>
      <c r="E157">
        <v>155.26</v>
      </c>
      <c r="F157">
        <v>-1</v>
      </c>
      <c r="G157" t="s">
        <v>349</v>
      </c>
      <c r="H157" t="s">
        <v>349</v>
      </c>
      <c r="J157" s="3">
        <v>1.0416666666666666E-2</v>
      </c>
    </row>
    <row r="158" spans="1:10" x14ac:dyDescent="0.25">
      <c r="A158" t="s">
        <v>339</v>
      </c>
      <c r="B158">
        <v>2173</v>
      </c>
      <c r="C158">
        <v>165.04220000000001</v>
      </c>
      <c r="D158">
        <v>14.992000000000001</v>
      </c>
      <c r="E158">
        <v>131.88999999999999</v>
      </c>
      <c r="F158">
        <v>-1</v>
      </c>
      <c r="G158" t="s">
        <v>349</v>
      </c>
      <c r="H158" t="s">
        <v>349</v>
      </c>
      <c r="I158" t="s">
        <v>375</v>
      </c>
      <c r="J158" s="3">
        <v>2.0833333333333332E-2</v>
      </c>
    </row>
    <row r="159" spans="1:10" x14ac:dyDescent="0.25">
      <c r="A159" t="s">
        <v>339</v>
      </c>
      <c r="B159">
        <v>7072</v>
      </c>
      <c r="C159">
        <v>694.94759999999997</v>
      </c>
      <c r="D159">
        <v>15.055</v>
      </c>
      <c r="E159">
        <v>183.75</v>
      </c>
      <c r="F159">
        <v>-1</v>
      </c>
      <c r="G159" t="s">
        <v>349</v>
      </c>
      <c r="H159" t="s">
        <v>349</v>
      </c>
      <c r="J159" s="3">
        <v>4.1666666666666664E-2</v>
      </c>
    </row>
    <row r="160" spans="1:10" x14ac:dyDescent="0.25">
      <c r="A160" t="s">
        <v>339</v>
      </c>
      <c r="B160">
        <v>8067</v>
      </c>
      <c r="C160">
        <v>680.95190000000002</v>
      </c>
      <c r="D160">
        <v>15.098000000000001</v>
      </c>
      <c r="E160">
        <v>190.9</v>
      </c>
      <c r="F160">
        <v>-1</v>
      </c>
      <c r="G160" t="s">
        <v>349</v>
      </c>
      <c r="H160" t="s">
        <v>349</v>
      </c>
      <c r="J160" s="3">
        <v>9.375E-2</v>
      </c>
    </row>
    <row r="161" spans="1:10" x14ac:dyDescent="0.25">
      <c r="A161" t="s">
        <v>339</v>
      </c>
      <c r="B161">
        <v>3970</v>
      </c>
      <c r="C161">
        <v>265.03390000000002</v>
      </c>
      <c r="D161">
        <v>15.141999999999999</v>
      </c>
      <c r="E161">
        <v>142.91</v>
      </c>
      <c r="F161">
        <v>-1</v>
      </c>
      <c r="G161" t="s">
        <v>349</v>
      </c>
      <c r="H161" t="s">
        <v>349</v>
      </c>
      <c r="J161" s="3">
        <v>3.125E-2</v>
      </c>
    </row>
    <row r="162" spans="1:10" x14ac:dyDescent="0.25">
      <c r="A162" t="s">
        <v>339</v>
      </c>
      <c r="B162">
        <v>2302</v>
      </c>
      <c r="C162">
        <v>277.05</v>
      </c>
      <c r="D162">
        <v>15.205</v>
      </c>
      <c r="E162">
        <v>150.94</v>
      </c>
      <c r="F162">
        <v>-1</v>
      </c>
      <c r="G162" t="s">
        <v>349</v>
      </c>
      <c r="H162" t="s">
        <v>349</v>
      </c>
      <c r="J162" s="3">
        <v>1.0416666666666666E-2</v>
      </c>
    </row>
    <row r="163" spans="1:10" x14ac:dyDescent="0.25">
      <c r="A163" t="s">
        <v>339</v>
      </c>
      <c r="B163">
        <v>6300</v>
      </c>
      <c r="C163">
        <v>644.95299999999997</v>
      </c>
      <c r="D163">
        <v>15.22</v>
      </c>
      <c r="E163">
        <v>177.31</v>
      </c>
      <c r="F163">
        <v>-1</v>
      </c>
      <c r="G163" t="s">
        <v>349</v>
      </c>
      <c r="H163" t="s">
        <v>349</v>
      </c>
      <c r="J163" s="3">
        <v>2.0833333333333332E-2</v>
      </c>
    </row>
    <row r="164" spans="1:10" x14ac:dyDescent="0.25">
      <c r="A164" t="s">
        <v>339</v>
      </c>
      <c r="B164">
        <v>854</v>
      </c>
      <c r="C164">
        <v>165.04349999999999</v>
      </c>
      <c r="D164">
        <v>15.256</v>
      </c>
      <c r="E164">
        <v>131.54</v>
      </c>
      <c r="F164">
        <v>-1</v>
      </c>
      <c r="G164" t="s">
        <v>349</v>
      </c>
      <c r="H164" t="s">
        <v>349</v>
      </c>
      <c r="I164" t="s">
        <v>375</v>
      </c>
      <c r="J164" s="3">
        <v>1.0416666666666666E-2</v>
      </c>
    </row>
    <row r="165" spans="1:10" x14ac:dyDescent="0.25">
      <c r="A165" t="s">
        <v>339</v>
      </c>
      <c r="B165">
        <v>4874</v>
      </c>
      <c r="C165">
        <v>191.0171</v>
      </c>
      <c r="D165">
        <v>15.333</v>
      </c>
      <c r="E165">
        <v>127.6</v>
      </c>
      <c r="F165">
        <v>-1</v>
      </c>
      <c r="G165" t="s">
        <v>349</v>
      </c>
      <c r="H165" t="s">
        <v>349</v>
      </c>
      <c r="J165" s="3">
        <v>2.0833333333333332E-2</v>
      </c>
    </row>
    <row r="166" spans="1:10" x14ac:dyDescent="0.25">
      <c r="A166" t="s">
        <v>339</v>
      </c>
      <c r="B166">
        <v>8780</v>
      </c>
      <c r="C166">
        <v>630.96180000000004</v>
      </c>
      <c r="D166">
        <v>15.342000000000001</v>
      </c>
      <c r="E166">
        <v>178.67</v>
      </c>
      <c r="F166">
        <v>-1</v>
      </c>
      <c r="G166" t="s">
        <v>349</v>
      </c>
      <c r="H166" t="s">
        <v>349</v>
      </c>
      <c r="J166" s="3">
        <v>3.125E-2</v>
      </c>
    </row>
    <row r="167" spans="1:10" x14ac:dyDescent="0.25">
      <c r="A167" t="s">
        <v>339</v>
      </c>
      <c r="B167">
        <v>6109</v>
      </c>
      <c r="C167">
        <v>530.96379999999999</v>
      </c>
      <c r="D167">
        <v>15.347</v>
      </c>
      <c r="E167">
        <v>171.97</v>
      </c>
      <c r="F167">
        <v>-1</v>
      </c>
      <c r="G167" t="s">
        <v>349</v>
      </c>
      <c r="H167" t="s">
        <v>349</v>
      </c>
      <c r="J167" s="3">
        <v>1.0416666666666666E-2</v>
      </c>
    </row>
    <row r="168" spans="1:10" x14ac:dyDescent="0.25">
      <c r="A168" t="s">
        <v>339</v>
      </c>
      <c r="B168">
        <v>1390</v>
      </c>
      <c r="C168">
        <v>231.04990000000001</v>
      </c>
      <c r="D168">
        <v>15.448</v>
      </c>
      <c r="E168">
        <v>140.88999999999999</v>
      </c>
      <c r="F168">
        <v>-1</v>
      </c>
      <c r="G168" t="s">
        <v>349</v>
      </c>
      <c r="H168" t="s">
        <v>349</v>
      </c>
      <c r="J168" s="3">
        <v>1.0416666666666666E-2</v>
      </c>
    </row>
    <row r="169" spans="1:10" x14ac:dyDescent="0.25">
      <c r="A169" t="s">
        <v>339</v>
      </c>
      <c r="B169">
        <v>7042</v>
      </c>
      <c r="C169">
        <v>630.95650000000001</v>
      </c>
      <c r="D169">
        <v>15.574</v>
      </c>
      <c r="E169">
        <v>178.21</v>
      </c>
      <c r="F169">
        <v>-1</v>
      </c>
      <c r="G169" t="s">
        <v>349</v>
      </c>
      <c r="H169" t="s">
        <v>349</v>
      </c>
      <c r="I169" t="s">
        <v>377</v>
      </c>
      <c r="J169" s="3">
        <v>0.10416666666666667</v>
      </c>
    </row>
    <row r="170" spans="1:10" x14ac:dyDescent="0.25">
      <c r="A170" t="s">
        <v>339</v>
      </c>
      <c r="B170">
        <v>6135</v>
      </c>
      <c r="C170">
        <v>744.94590000000005</v>
      </c>
      <c r="D170">
        <v>15.641999999999999</v>
      </c>
      <c r="E170">
        <v>190.31</v>
      </c>
      <c r="F170">
        <v>-1</v>
      </c>
      <c r="G170" t="s">
        <v>349</v>
      </c>
      <c r="H170" t="s">
        <v>349</v>
      </c>
      <c r="J170" s="3">
        <v>3.125E-2</v>
      </c>
    </row>
    <row r="171" spans="1:10" x14ac:dyDescent="0.25">
      <c r="A171" t="s">
        <v>339</v>
      </c>
      <c r="B171">
        <v>8187</v>
      </c>
      <c r="C171">
        <v>404.99220000000003</v>
      </c>
      <c r="D171">
        <v>15.736000000000001</v>
      </c>
      <c r="E171">
        <v>177.37</v>
      </c>
      <c r="F171">
        <v>-1</v>
      </c>
      <c r="G171" t="s">
        <v>349</v>
      </c>
      <c r="H171" t="s">
        <v>349</v>
      </c>
      <c r="J171" s="3">
        <v>1.0416666666666666E-2</v>
      </c>
    </row>
    <row r="172" spans="1:10" x14ac:dyDescent="0.25">
      <c r="A172" t="s">
        <v>339</v>
      </c>
      <c r="B172">
        <v>6095</v>
      </c>
      <c r="C172">
        <v>730.95129999999995</v>
      </c>
      <c r="D172">
        <v>16.007000000000001</v>
      </c>
      <c r="E172">
        <v>197.16</v>
      </c>
      <c r="F172">
        <v>-1</v>
      </c>
      <c r="G172" t="s">
        <v>349</v>
      </c>
      <c r="H172" t="s">
        <v>349</v>
      </c>
      <c r="J172" s="3">
        <v>0.14583333333333334</v>
      </c>
    </row>
    <row r="173" spans="1:10" x14ac:dyDescent="0.25">
      <c r="A173" t="s">
        <v>339</v>
      </c>
      <c r="B173">
        <v>4150</v>
      </c>
      <c r="C173">
        <v>289.03129999999999</v>
      </c>
      <c r="D173">
        <v>16.074000000000002</v>
      </c>
      <c r="E173">
        <v>155.54</v>
      </c>
      <c r="F173">
        <v>-1</v>
      </c>
      <c r="G173" t="s">
        <v>349</v>
      </c>
      <c r="H173" t="s">
        <v>349</v>
      </c>
      <c r="J173" s="3">
        <v>1.0416666666666666E-2</v>
      </c>
    </row>
    <row r="174" spans="1:10" x14ac:dyDescent="0.25">
      <c r="A174" t="s">
        <v>339</v>
      </c>
      <c r="B174">
        <v>4764</v>
      </c>
      <c r="C174">
        <v>404.9923</v>
      </c>
      <c r="D174">
        <v>16.076000000000001</v>
      </c>
      <c r="E174">
        <v>176.72</v>
      </c>
      <c r="F174">
        <v>-1</v>
      </c>
      <c r="G174" t="s">
        <v>349</v>
      </c>
      <c r="H174" t="s">
        <v>349</v>
      </c>
      <c r="J174" s="3">
        <v>1.0416666666666666E-2</v>
      </c>
    </row>
    <row r="175" spans="1:10" x14ac:dyDescent="0.25">
      <c r="A175" t="s">
        <v>339</v>
      </c>
      <c r="B175">
        <v>8148</v>
      </c>
      <c r="C175">
        <v>203.0248</v>
      </c>
      <c r="D175">
        <v>16.12</v>
      </c>
      <c r="E175">
        <v>140.41</v>
      </c>
      <c r="F175">
        <v>-1</v>
      </c>
      <c r="G175" t="s">
        <v>349</v>
      </c>
      <c r="H175" t="s">
        <v>349</v>
      </c>
      <c r="J175" s="3">
        <v>1.0416666666666666E-2</v>
      </c>
    </row>
    <row r="176" spans="1:10" x14ac:dyDescent="0.25">
      <c r="A176" t="s">
        <v>339</v>
      </c>
      <c r="B176">
        <v>7113</v>
      </c>
      <c r="C176">
        <v>630.96040000000005</v>
      </c>
      <c r="D176">
        <v>16.126000000000001</v>
      </c>
      <c r="E176">
        <v>184.04</v>
      </c>
      <c r="F176">
        <v>-1</v>
      </c>
      <c r="G176" t="s">
        <v>349</v>
      </c>
      <c r="H176" t="s">
        <v>349</v>
      </c>
      <c r="J176" s="3">
        <v>1.0416666666666666E-2</v>
      </c>
    </row>
    <row r="177" spans="1:10" x14ac:dyDescent="0.25">
      <c r="A177" t="s">
        <v>339</v>
      </c>
      <c r="B177">
        <v>8383</v>
      </c>
      <c r="C177">
        <v>730.94510000000002</v>
      </c>
      <c r="D177">
        <v>16.172000000000001</v>
      </c>
      <c r="E177">
        <v>197.93</v>
      </c>
      <c r="F177">
        <v>-1</v>
      </c>
      <c r="G177" t="s">
        <v>349</v>
      </c>
      <c r="H177" t="s">
        <v>349</v>
      </c>
      <c r="J177" s="3">
        <v>1.0416666666666666E-2</v>
      </c>
    </row>
    <row r="178" spans="1:10" x14ac:dyDescent="0.25">
      <c r="A178" t="s">
        <v>339</v>
      </c>
      <c r="B178">
        <v>8206</v>
      </c>
      <c r="C178">
        <v>744.94449999999995</v>
      </c>
      <c r="D178">
        <v>16.183</v>
      </c>
      <c r="E178">
        <v>190.16</v>
      </c>
      <c r="F178">
        <v>-1</v>
      </c>
      <c r="G178" t="s">
        <v>349</v>
      </c>
      <c r="H178" t="s">
        <v>349</v>
      </c>
      <c r="J178" s="3">
        <v>4.1666666666666664E-2</v>
      </c>
    </row>
    <row r="179" spans="1:10" x14ac:dyDescent="0.25">
      <c r="A179" t="s">
        <v>339</v>
      </c>
      <c r="B179">
        <v>8506</v>
      </c>
      <c r="C179">
        <v>730.94759999999997</v>
      </c>
      <c r="D179">
        <v>16.236000000000001</v>
      </c>
      <c r="E179">
        <v>197.07</v>
      </c>
      <c r="F179">
        <v>-1</v>
      </c>
      <c r="G179" t="s">
        <v>349</v>
      </c>
      <c r="H179" t="s">
        <v>349</v>
      </c>
      <c r="J179" s="3">
        <v>2.0833333333333332E-2</v>
      </c>
    </row>
    <row r="180" spans="1:10" x14ac:dyDescent="0.25">
      <c r="A180" t="s">
        <v>339</v>
      </c>
      <c r="B180">
        <v>3062</v>
      </c>
      <c r="C180">
        <v>287.03820000000002</v>
      </c>
      <c r="D180">
        <v>16.256</v>
      </c>
      <c r="E180">
        <v>155.69</v>
      </c>
      <c r="F180">
        <v>-1</v>
      </c>
      <c r="G180" t="s">
        <v>349</v>
      </c>
      <c r="H180" t="s">
        <v>349</v>
      </c>
      <c r="J180" s="3">
        <v>2.0833333333333332E-2</v>
      </c>
    </row>
    <row r="181" spans="1:10" x14ac:dyDescent="0.25">
      <c r="A181" t="s">
        <v>339</v>
      </c>
      <c r="B181">
        <v>8946</v>
      </c>
      <c r="C181">
        <v>630.95510000000002</v>
      </c>
      <c r="D181">
        <v>16.277000000000001</v>
      </c>
      <c r="E181">
        <v>183.56</v>
      </c>
      <c r="F181">
        <v>-1</v>
      </c>
      <c r="G181" t="s">
        <v>349</v>
      </c>
      <c r="H181" t="s">
        <v>349</v>
      </c>
      <c r="J181" s="3">
        <v>3.125E-2</v>
      </c>
    </row>
    <row r="182" spans="1:10" x14ac:dyDescent="0.25">
      <c r="A182" t="s">
        <v>339</v>
      </c>
      <c r="B182">
        <v>3322</v>
      </c>
      <c r="C182">
        <v>231.05</v>
      </c>
      <c r="D182">
        <v>16.291</v>
      </c>
      <c r="E182">
        <v>140.62</v>
      </c>
      <c r="F182">
        <v>-1</v>
      </c>
      <c r="G182" t="s">
        <v>349</v>
      </c>
      <c r="H182" t="s">
        <v>349</v>
      </c>
      <c r="J182" s="3">
        <v>1.0416666666666666E-2</v>
      </c>
    </row>
    <row r="183" spans="1:10" x14ac:dyDescent="0.25">
      <c r="A183" t="s">
        <v>338</v>
      </c>
      <c r="B183">
        <v>5163</v>
      </c>
      <c r="C183">
        <v>498.93310000000002</v>
      </c>
      <c r="D183">
        <v>10.459</v>
      </c>
      <c r="E183">
        <v>190.91</v>
      </c>
      <c r="F183">
        <v>-1</v>
      </c>
      <c r="G183" t="s">
        <v>351</v>
      </c>
      <c r="H183" t="s">
        <v>351</v>
      </c>
      <c r="J183" s="3">
        <v>0.15625</v>
      </c>
    </row>
    <row r="184" spans="1:10" x14ac:dyDescent="0.25">
      <c r="A184" t="s">
        <v>338</v>
      </c>
      <c r="B184">
        <v>6884</v>
      </c>
      <c r="C184">
        <v>580.96159999999998</v>
      </c>
      <c r="D184">
        <v>11.831</v>
      </c>
      <c r="E184">
        <v>176.07</v>
      </c>
      <c r="F184">
        <v>-1</v>
      </c>
      <c r="G184" t="s">
        <v>360</v>
      </c>
      <c r="H184" t="s">
        <v>360</v>
      </c>
      <c r="J184" s="3">
        <v>7.2916666666666671E-2</v>
      </c>
    </row>
    <row r="185" spans="1:10" x14ac:dyDescent="0.25">
      <c r="A185" t="s">
        <v>338</v>
      </c>
      <c r="B185">
        <v>3820</v>
      </c>
      <c r="C185">
        <v>694.95259999999996</v>
      </c>
      <c r="D185">
        <v>12.36</v>
      </c>
      <c r="E185">
        <v>183.65</v>
      </c>
      <c r="F185">
        <v>-1</v>
      </c>
      <c r="G185" t="s">
        <v>360</v>
      </c>
      <c r="H185" t="s">
        <v>360</v>
      </c>
      <c r="J185" s="3">
        <v>6.25E-2</v>
      </c>
    </row>
    <row r="186" spans="1:10" x14ac:dyDescent="0.25">
      <c r="A186" t="s">
        <v>338</v>
      </c>
      <c r="B186">
        <v>1480</v>
      </c>
      <c r="C186">
        <v>744.95119999999997</v>
      </c>
      <c r="D186">
        <v>12.824</v>
      </c>
      <c r="E186">
        <v>190.27</v>
      </c>
      <c r="F186">
        <v>-1</v>
      </c>
      <c r="G186" t="s">
        <v>360</v>
      </c>
      <c r="H186" t="s">
        <v>360</v>
      </c>
      <c r="J186" s="3">
        <v>4.1666666666666664E-2</v>
      </c>
    </row>
    <row r="187" spans="1:10" x14ac:dyDescent="0.25">
      <c r="A187" t="s">
        <v>338</v>
      </c>
      <c r="B187">
        <v>543</v>
      </c>
      <c r="C187">
        <v>794.94849999999997</v>
      </c>
      <c r="D187">
        <v>13.233000000000001</v>
      </c>
      <c r="E187">
        <v>196.89</v>
      </c>
      <c r="F187">
        <v>-1</v>
      </c>
      <c r="G187" t="s">
        <v>360</v>
      </c>
      <c r="H187" t="s">
        <v>360</v>
      </c>
      <c r="J187" s="3">
        <v>3.125E-2</v>
      </c>
    </row>
    <row r="188" spans="1:10" x14ac:dyDescent="0.25">
      <c r="A188" t="s">
        <v>338</v>
      </c>
      <c r="B188">
        <v>360</v>
      </c>
      <c r="C188">
        <v>894.94370000000004</v>
      </c>
      <c r="D188">
        <v>13.920999999999999</v>
      </c>
      <c r="E188">
        <v>210.47</v>
      </c>
      <c r="F188">
        <v>-1</v>
      </c>
      <c r="G188" t="s">
        <v>360</v>
      </c>
      <c r="H188" t="s">
        <v>360</v>
      </c>
      <c r="J188" s="3">
        <v>4.1666666666666664E-2</v>
      </c>
    </row>
    <row r="189" spans="1:10" x14ac:dyDescent="0.25">
      <c r="A189" t="s">
        <v>339</v>
      </c>
      <c r="B189">
        <v>6978</v>
      </c>
      <c r="C189">
        <v>230.9864</v>
      </c>
      <c r="D189">
        <v>4.4390000000000001</v>
      </c>
      <c r="E189">
        <v>121.69</v>
      </c>
      <c r="F189">
        <v>-1</v>
      </c>
      <c r="G189" t="s">
        <v>360</v>
      </c>
      <c r="H189" t="s">
        <v>360</v>
      </c>
      <c r="J189" s="3">
        <v>6.25E-2</v>
      </c>
    </row>
    <row r="190" spans="1:10" x14ac:dyDescent="0.25">
      <c r="A190" t="s">
        <v>339</v>
      </c>
      <c r="B190">
        <v>5350</v>
      </c>
      <c r="C190">
        <v>230.9836</v>
      </c>
      <c r="D190">
        <v>4.524</v>
      </c>
      <c r="E190">
        <v>122.1</v>
      </c>
      <c r="F190">
        <v>-1</v>
      </c>
      <c r="G190" t="s">
        <v>360</v>
      </c>
      <c r="H190" t="s">
        <v>360</v>
      </c>
      <c r="J190" s="3">
        <v>7.2916666666666671E-2</v>
      </c>
    </row>
    <row r="191" spans="1:10" x14ac:dyDescent="0.25">
      <c r="A191" t="s">
        <v>339</v>
      </c>
      <c r="B191">
        <v>939</v>
      </c>
      <c r="C191">
        <v>330.97859999999997</v>
      </c>
      <c r="D191">
        <v>7.6790000000000003</v>
      </c>
      <c r="E191">
        <v>137.52000000000001</v>
      </c>
      <c r="F191">
        <v>-1</v>
      </c>
      <c r="G191" t="s">
        <v>360</v>
      </c>
      <c r="H191" t="s">
        <v>360</v>
      </c>
      <c r="J191" s="3">
        <v>2.0833333333333332E-2</v>
      </c>
    </row>
    <row r="192" spans="1:10" x14ac:dyDescent="0.25">
      <c r="A192" t="s">
        <v>339</v>
      </c>
      <c r="B192">
        <v>5334</v>
      </c>
      <c r="C192">
        <v>330.97820000000002</v>
      </c>
      <c r="D192">
        <v>7.68</v>
      </c>
      <c r="E192">
        <v>146.87</v>
      </c>
      <c r="F192">
        <v>-1</v>
      </c>
      <c r="G192" t="s">
        <v>360</v>
      </c>
      <c r="H192" t="s">
        <v>360</v>
      </c>
      <c r="J192" s="3">
        <v>0.15625</v>
      </c>
    </row>
    <row r="193" spans="1:10" x14ac:dyDescent="0.25">
      <c r="A193" t="s">
        <v>339</v>
      </c>
      <c r="B193">
        <v>7753</v>
      </c>
      <c r="C193">
        <v>380.97140000000002</v>
      </c>
      <c r="D193">
        <v>8.8089999999999993</v>
      </c>
      <c r="E193">
        <v>146.38999999999999</v>
      </c>
      <c r="F193">
        <v>-1</v>
      </c>
      <c r="G193" t="s">
        <v>360</v>
      </c>
      <c r="H193" t="s">
        <v>360</v>
      </c>
      <c r="J193" s="3">
        <v>7.2916666666666671E-2</v>
      </c>
    </row>
    <row r="194" spans="1:10" x14ac:dyDescent="0.25">
      <c r="A194" t="s">
        <v>339</v>
      </c>
      <c r="B194">
        <v>2352</v>
      </c>
      <c r="C194">
        <v>630.95680000000004</v>
      </c>
      <c r="D194">
        <v>12.36</v>
      </c>
      <c r="E194">
        <v>183.41</v>
      </c>
      <c r="F194">
        <v>-1</v>
      </c>
      <c r="G194" t="s">
        <v>360</v>
      </c>
      <c r="H194" t="s">
        <v>360</v>
      </c>
      <c r="J194" s="3">
        <v>5.2083333333333336E-2</v>
      </c>
    </row>
    <row r="195" spans="1:10" x14ac:dyDescent="0.25">
      <c r="A195" t="s">
        <v>339</v>
      </c>
      <c r="B195">
        <v>1229</v>
      </c>
      <c r="C195">
        <v>680.9556</v>
      </c>
      <c r="D195">
        <v>12.824</v>
      </c>
      <c r="E195">
        <v>190.56</v>
      </c>
      <c r="F195">
        <v>-1</v>
      </c>
      <c r="G195" t="s">
        <v>360</v>
      </c>
      <c r="H195" t="s">
        <v>360</v>
      </c>
      <c r="J195" s="3">
        <v>4.1666666666666664E-2</v>
      </c>
    </row>
    <row r="196" spans="1:10" x14ac:dyDescent="0.25">
      <c r="A196" t="s">
        <v>339</v>
      </c>
      <c r="B196">
        <v>671</v>
      </c>
      <c r="C196">
        <v>730.9529</v>
      </c>
      <c r="D196">
        <v>13.233000000000001</v>
      </c>
      <c r="E196">
        <v>198.17</v>
      </c>
      <c r="F196">
        <v>-1</v>
      </c>
      <c r="G196" t="s">
        <v>360</v>
      </c>
      <c r="H196" t="s">
        <v>360</v>
      </c>
      <c r="J196" s="3">
        <v>4.1666666666666664E-2</v>
      </c>
    </row>
    <row r="197" spans="1:10" x14ac:dyDescent="0.25">
      <c r="A197" t="s">
        <v>339</v>
      </c>
      <c r="B197">
        <v>1554</v>
      </c>
      <c r="C197">
        <v>780.94970000000001</v>
      </c>
      <c r="D197">
        <v>13.596</v>
      </c>
      <c r="E197">
        <v>209.44</v>
      </c>
      <c r="F197">
        <v>-1</v>
      </c>
      <c r="G197" t="s">
        <v>360</v>
      </c>
      <c r="H197" t="s">
        <v>360</v>
      </c>
      <c r="J197" s="3">
        <v>1.0416666666666666E-2</v>
      </c>
    </row>
    <row r="198" spans="1:10" x14ac:dyDescent="0.25">
      <c r="A198" t="s">
        <v>339</v>
      </c>
      <c r="B198">
        <v>393</v>
      </c>
      <c r="C198">
        <v>944.94219999999996</v>
      </c>
      <c r="D198">
        <v>14.221</v>
      </c>
      <c r="E198">
        <v>217.32</v>
      </c>
      <c r="F198">
        <v>-1</v>
      </c>
      <c r="G198" t="s">
        <v>360</v>
      </c>
      <c r="H198" t="s">
        <v>360</v>
      </c>
      <c r="J198" s="3">
        <v>1.0416666666666666E-2</v>
      </c>
    </row>
    <row r="199" spans="1:10" x14ac:dyDescent="0.25">
      <c r="A199" t="s">
        <v>339</v>
      </c>
      <c r="B199">
        <v>481</v>
      </c>
      <c r="C199">
        <v>994.93830000000003</v>
      </c>
      <c r="D199">
        <v>14.5</v>
      </c>
      <c r="E199">
        <v>224.16</v>
      </c>
      <c r="F199">
        <v>-1</v>
      </c>
      <c r="G199" t="s">
        <v>360</v>
      </c>
      <c r="H199" t="s">
        <v>360</v>
      </c>
      <c r="J199" s="3">
        <v>3.125E-2</v>
      </c>
    </row>
    <row r="200" spans="1:10" x14ac:dyDescent="0.25">
      <c r="A200" t="s">
        <v>339</v>
      </c>
      <c r="B200">
        <v>8441</v>
      </c>
      <c r="C200">
        <v>1044.9407000000001</v>
      </c>
      <c r="D200">
        <v>14.955</v>
      </c>
      <c r="E200">
        <v>230.93</v>
      </c>
      <c r="F200">
        <v>-1</v>
      </c>
      <c r="G200" t="s">
        <v>360</v>
      </c>
      <c r="H200" t="s">
        <v>360</v>
      </c>
      <c r="J200" s="3">
        <v>1.0416666666666666E-2</v>
      </c>
    </row>
    <row r="201" spans="1:10" x14ac:dyDescent="0.25">
      <c r="A201" t="s">
        <v>339</v>
      </c>
      <c r="B201">
        <v>4794</v>
      </c>
      <c r="C201">
        <v>1030.9340999999999</v>
      </c>
      <c r="D201">
        <v>15.023999999999999</v>
      </c>
      <c r="E201">
        <v>252.52</v>
      </c>
      <c r="F201">
        <v>-1</v>
      </c>
      <c r="G201" t="s">
        <v>360</v>
      </c>
      <c r="H201" t="s">
        <v>360</v>
      </c>
      <c r="J201" s="3">
        <v>6.25E-2</v>
      </c>
    </row>
    <row r="202" spans="1:10" x14ac:dyDescent="0.25">
      <c r="A202" t="s">
        <v>338</v>
      </c>
      <c r="B202">
        <v>8601</v>
      </c>
      <c r="C202">
        <v>422.98160000000001</v>
      </c>
      <c r="D202">
        <v>10.441000000000001</v>
      </c>
      <c r="E202">
        <v>147.4</v>
      </c>
      <c r="F202">
        <v>-1</v>
      </c>
      <c r="G202" t="s">
        <v>350</v>
      </c>
      <c r="H202" t="s">
        <v>350</v>
      </c>
      <c r="J202" s="3">
        <v>1.0416666666666666E-2</v>
      </c>
    </row>
    <row r="203" spans="1:10" x14ac:dyDescent="0.25">
      <c r="A203" t="s">
        <v>339</v>
      </c>
      <c r="B203">
        <v>404</v>
      </c>
      <c r="C203">
        <v>168.99090000000001</v>
      </c>
      <c r="D203">
        <v>8.3529999999999998</v>
      </c>
      <c r="E203">
        <v>136.58000000000001</v>
      </c>
      <c r="F203">
        <v>-1</v>
      </c>
      <c r="G203" t="s">
        <v>350</v>
      </c>
      <c r="H203" t="s">
        <v>350</v>
      </c>
      <c r="J203" s="3">
        <v>4.1666666666666664E-2</v>
      </c>
    </row>
    <row r="204" spans="1:10" x14ac:dyDescent="0.25">
      <c r="A204" t="s">
        <v>338</v>
      </c>
      <c r="B204">
        <v>203</v>
      </c>
      <c r="C204">
        <v>569.96590000000003</v>
      </c>
      <c r="D204">
        <v>12.464</v>
      </c>
      <c r="E204">
        <v>172.46</v>
      </c>
      <c r="F204">
        <v>-1</v>
      </c>
      <c r="G204" t="s">
        <v>361</v>
      </c>
      <c r="H204" t="s">
        <v>361</v>
      </c>
      <c r="I204" t="s">
        <v>362</v>
      </c>
      <c r="J204" s="3">
        <v>5.2083333333333336E-2</v>
      </c>
    </row>
    <row r="205" spans="1:10" x14ac:dyDescent="0.25">
      <c r="A205" t="s">
        <v>338</v>
      </c>
      <c r="B205">
        <v>1062</v>
      </c>
      <c r="C205">
        <v>569.96590000000003</v>
      </c>
      <c r="D205">
        <v>12.464</v>
      </c>
      <c r="E205">
        <v>216.1</v>
      </c>
      <c r="F205">
        <v>-1</v>
      </c>
      <c r="G205" t="s">
        <v>361</v>
      </c>
      <c r="H205" t="s">
        <v>361</v>
      </c>
      <c r="I205" t="s">
        <v>364</v>
      </c>
      <c r="J205" s="3">
        <v>1.0416666666666666E-2</v>
      </c>
    </row>
    <row r="206" spans="1:10" x14ac:dyDescent="0.25">
      <c r="A206" t="s">
        <v>339</v>
      </c>
      <c r="B206">
        <v>7285</v>
      </c>
      <c r="C206">
        <v>273.0951</v>
      </c>
      <c r="D206">
        <v>6.8259999999999996</v>
      </c>
      <c r="E206">
        <v>124.8</v>
      </c>
      <c r="F206">
        <v>-1</v>
      </c>
      <c r="G206" t="s">
        <v>366</v>
      </c>
      <c r="H206" t="s">
        <v>366</v>
      </c>
      <c r="J206" s="3">
        <v>1.0416666666666666E-2</v>
      </c>
    </row>
  </sheetData>
  <sortState xmlns:xlrd2="http://schemas.microsoft.com/office/spreadsheetml/2017/richdata2" ref="A5:J63">
    <sortCondition ref="A36:A63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3AF6F-D210-43B1-B4C1-46F882B39065}">
  <dimension ref="A1:ED30"/>
  <sheetViews>
    <sheetView workbookViewId="0">
      <selection sqref="A1:XFD30"/>
    </sheetView>
  </sheetViews>
  <sheetFormatPr defaultRowHeight="15" x14ac:dyDescent="0.25"/>
  <cols>
    <col min="6" max="6" width="48.5703125" customWidth="1"/>
    <col min="19" max="19" width="44.5703125" customWidth="1"/>
    <col min="20" max="20" width="7.5703125" bestFit="1" customWidth="1"/>
    <col min="21" max="21" width="19.140625" customWidth="1"/>
    <col min="22" max="22" width="5.7109375" customWidth="1"/>
  </cols>
  <sheetData>
    <row r="1" spans="1:134" x14ac:dyDescent="0.25">
      <c r="A1" s="1" t="s">
        <v>0</v>
      </c>
      <c r="B1" s="1" t="s">
        <v>6</v>
      </c>
      <c r="C1" s="1" t="s">
        <v>12</v>
      </c>
      <c r="D1" s="1" t="s">
        <v>7</v>
      </c>
      <c r="E1" s="4" t="s">
        <v>336</v>
      </c>
      <c r="F1" s="4" t="s">
        <v>340</v>
      </c>
      <c r="G1" s="1" t="s">
        <v>11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</v>
      </c>
      <c r="O1" s="1" t="s">
        <v>2</v>
      </c>
      <c r="P1" s="1" t="s">
        <v>3</v>
      </c>
      <c r="Q1" s="1" t="s">
        <v>4</v>
      </c>
      <c r="R1" s="1" t="s">
        <v>5</v>
      </c>
      <c r="S1" s="1" t="s">
        <v>19</v>
      </c>
      <c r="T1" s="1" t="s">
        <v>8</v>
      </c>
      <c r="U1" s="1" t="s">
        <v>9</v>
      </c>
      <c r="V1" s="1" t="s">
        <v>10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219</v>
      </c>
      <c r="AO1" s="1" t="s">
        <v>0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50</v>
      </c>
      <c r="AX1" s="1" t="s">
        <v>51</v>
      </c>
      <c r="AY1" s="1" t="s">
        <v>52</v>
      </c>
      <c r="AZ1" s="1" t="s">
        <v>53</v>
      </c>
      <c r="BA1" s="1" t="s">
        <v>55</v>
      </c>
      <c r="BB1" s="1" t="s">
        <v>56</v>
      </c>
      <c r="BC1" s="1" t="s">
        <v>57</v>
      </c>
      <c r="BD1" s="1" t="s">
        <v>220</v>
      </c>
      <c r="BE1" s="1" t="s">
        <v>58</v>
      </c>
      <c r="BF1" s="1" t="s">
        <v>59</v>
      </c>
      <c r="BG1" s="1" t="s">
        <v>221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222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223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224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126</v>
      </c>
      <c r="DW1" s="1" t="s">
        <v>128</v>
      </c>
      <c r="DX1" s="1" t="s">
        <v>129</v>
      </c>
      <c r="DY1" s="1" t="s">
        <v>130</v>
      </c>
      <c r="DZ1" s="1" t="s">
        <v>131</v>
      </c>
      <c r="EA1" s="1" t="s">
        <v>132</v>
      </c>
      <c r="EB1" s="2" t="s">
        <v>336</v>
      </c>
    </row>
    <row r="2" spans="1:134" x14ac:dyDescent="0.25">
      <c r="A2" s="1">
        <v>469</v>
      </c>
      <c r="B2">
        <v>612.9529</v>
      </c>
      <c r="C2">
        <v>216.09</v>
      </c>
      <c r="D2">
        <v>12.464</v>
      </c>
      <c r="E2" s="3">
        <v>0.39583333333333331</v>
      </c>
      <c r="F2" t="s">
        <v>410</v>
      </c>
      <c r="G2">
        <v>29.285</v>
      </c>
      <c r="H2">
        <v>-1</v>
      </c>
      <c r="I2">
        <v>4</v>
      </c>
      <c r="J2">
        <v>83</v>
      </c>
      <c r="K2">
        <v>100</v>
      </c>
      <c r="M2" t="b">
        <v>0</v>
      </c>
      <c r="N2" t="s">
        <v>225</v>
      </c>
      <c r="O2" t="s">
        <v>166</v>
      </c>
      <c r="P2" t="s">
        <v>241</v>
      </c>
      <c r="Q2" t="s">
        <v>162</v>
      </c>
      <c r="R2" t="s">
        <v>163</v>
      </c>
      <c r="S2" t="s">
        <v>242</v>
      </c>
      <c r="T2" t="s">
        <v>137</v>
      </c>
      <c r="U2" t="s">
        <v>228</v>
      </c>
      <c r="V2" t="s">
        <v>137</v>
      </c>
      <c r="W2">
        <v>613</v>
      </c>
      <c r="X2">
        <v>-4.7100000000000398E-2</v>
      </c>
      <c r="Y2">
        <v>612.99205253798596</v>
      </c>
      <c r="Z2">
        <v>613</v>
      </c>
      <c r="AA2">
        <v>-7.9474620139307998E-3</v>
      </c>
      <c r="AB2">
        <v>37</v>
      </c>
      <c r="AC2">
        <v>14</v>
      </c>
      <c r="AD2">
        <v>4</v>
      </c>
      <c r="AE2" t="b">
        <v>1</v>
      </c>
      <c r="AF2" t="s">
        <v>142</v>
      </c>
      <c r="AG2" t="s">
        <v>143</v>
      </c>
      <c r="AH2" t="b">
        <v>0</v>
      </c>
      <c r="AI2" t="b">
        <v>1</v>
      </c>
      <c r="AJ2" t="b">
        <v>1</v>
      </c>
      <c r="AK2" t="b">
        <v>1</v>
      </c>
      <c r="AL2" t="s">
        <v>225</v>
      </c>
      <c r="AM2" t="s">
        <v>228</v>
      </c>
      <c r="AN2" t="b">
        <v>1</v>
      </c>
      <c r="AO2">
        <v>469</v>
      </c>
      <c r="AQ2">
        <v>108.30840000000001</v>
      </c>
      <c r="AS2">
        <v>491.30840000000001</v>
      </c>
      <c r="AV2">
        <v>822.30840000000001</v>
      </c>
      <c r="AW2">
        <v>610.30840000000001</v>
      </c>
      <c r="AY2">
        <v>393.30840000000001</v>
      </c>
      <c r="BA2">
        <v>284.30840000000001</v>
      </c>
      <c r="BE2">
        <v>799.30840000000001</v>
      </c>
      <c r="BF2">
        <v>93.308359999999993</v>
      </c>
      <c r="BI2">
        <v>572.30840000000001</v>
      </c>
      <c r="BP2">
        <v>572.30840000000001</v>
      </c>
      <c r="BU2">
        <v>506.30840000000001</v>
      </c>
      <c r="BZ2">
        <v>630.30840000000001</v>
      </c>
      <c r="CA2">
        <v>871.30840000000001</v>
      </c>
      <c r="CB2">
        <v>737.30840000000001</v>
      </c>
      <c r="CD2">
        <v>457.30840000000001</v>
      </c>
      <c r="CF2">
        <v>27.30836</v>
      </c>
      <c r="CK2">
        <v>63.30836</v>
      </c>
      <c r="CM2">
        <v>1422.308</v>
      </c>
      <c r="CN2">
        <v>779.30840000000001</v>
      </c>
      <c r="CO2">
        <v>776.30840000000001</v>
      </c>
      <c r="CP2">
        <v>599.30840000000001</v>
      </c>
      <c r="CQ2">
        <v>2939.308</v>
      </c>
      <c r="CR2">
        <v>707.30840000000001</v>
      </c>
      <c r="CS2">
        <v>260.30840000000001</v>
      </c>
      <c r="CU2">
        <v>4.3083640000000001</v>
      </c>
      <c r="CV2">
        <v>53.30836</v>
      </c>
      <c r="CW2">
        <v>392.30840000000001</v>
      </c>
      <c r="CY2">
        <v>674.30840000000001</v>
      </c>
      <c r="CZ2">
        <v>518.30840000000001</v>
      </c>
      <c r="DC2">
        <v>431.30840000000001</v>
      </c>
      <c r="DD2">
        <v>448.30840000000001</v>
      </c>
      <c r="DF2">
        <v>584.30840000000001</v>
      </c>
      <c r="DH2">
        <v>516.30840000000001</v>
      </c>
      <c r="DI2">
        <v>370.30840000000001</v>
      </c>
      <c r="DP2">
        <v>12.30836</v>
      </c>
      <c r="DS2">
        <v>34.308363900000003</v>
      </c>
      <c r="DX2">
        <v>182.30840000000001</v>
      </c>
      <c r="EA2">
        <v>172.30840000000001</v>
      </c>
      <c r="EB2" s="3">
        <f t="shared" ref="EB2:EB14" si="0">COUNT(AP2:EA2)/96</f>
        <v>0.39583333333333331</v>
      </c>
    </row>
    <row r="3" spans="1:134" x14ac:dyDescent="0.25">
      <c r="A3" s="1">
        <v>608</v>
      </c>
      <c r="B3">
        <v>512.9579</v>
      </c>
      <c r="C3">
        <v>199.2</v>
      </c>
      <c r="D3">
        <v>11.223000000000001</v>
      </c>
      <c r="E3" s="3">
        <v>0.38541666666666669</v>
      </c>
      <c r="F3" t="s">
        <v>411</v>
      </c>
      <c r="G3">
        <v>26.885000000000002</v>
      </c>
      <c r="H3">
        <v>-1</v>
      </c>
      <c r="I3">
        <v>2</v>
      </c>
      <c r="J3">
        <v>82</v>
      </c>
      <c r="K3">
        <v>100</v>
      </c>
      <c r="M3" t="b">
        <v>0</v>
      </c>
      <c r="N3" t="s">
        <v>230</v>
      </c>
      <c r="O3" t="s">
        <v>181</v>
      </c>
      <c r="P3" t="s">
        <v>246</v>
      </c>
      <c r="Q3" t="s">
        <v>154</v>
      </c>
      <c r="R3" t="s">
        <v>155</v>
      </c>
      <c r="S3" t="s">
        <v>247</v>
      </c>
      <c r="T3" t="s">
        <v>137</v>
      </c>
      <c r="U3" t="s">
        <v>231</v>
      </c>
      <c r="V3" t="s">
        <v>137</v>
      </c>
      <c r="W3">
        <v>513</v>
      </c>
      <c r="X3">
        <v>-4.2100000000004897E-2</v>
      </c>
      <c r="Y3">
        <v>512.99066532938298</v>
      </c>
      <c r="Z3">
        <v>513</v>
      </c>
      <c r="AA3">
        <v>-9.3346706165675E-3</v>
      </c>
      <c r="AB3">
        <v>35</v>
      </c>
      <c r="AC3">
        <v>0</v>
      </c>
      <c r="AD3">
        <v>0</v>
      </c>
      <c r="AE3" t="b">
        <v>1</v>
      </c>
      <c r="AH3" t="b">
        <v>0</v>
      </c>
      <c r="AI3" t="b">
        <v>0</v>
      </c>
      <c r="AJ3" t="b">
        <v>0</v>
      </c>
      <c r="AK3" t="b">
        <v>1</v>
      </c>
      <c r="AL3" t="s">
        <v>230</v>
      </c>
      <c r="AM3" t="s">
        <v>231</v>
      </c>
      <c r="AN3" t="b">
        <v>1</v>
      </c>
      <c r="AO3">
        <v>608</v>
      </c>
      <c r="AP3">
        <v>143.3065</v>
      </c>
      <c r="AQ3">
        <v>921.30650000000003</v>
      </c>
      <c r="AS3">
        <v>20.30649</v>
      </c>
      <c r="AT3">
        <v>613.30650000000003</v>
      </c>
      <c r="AU3">
        <v>677.30650000000003</v>
      </c>
      <c r="AV3">
        <v>319.30650000000003</v>
      </c>
      <c r="AY3">
        <v>62.306489999999997</v>
      </c>
      <c r="BB3">
        <v>347.30650000000003</v>
      </c>
      <c r="BC3">
        <v>47.306489999999997</v>
      </c>
      <c r="BE3">
        <v>460.30650000000003</v>
      </c>
      <c r="BN3">
        <v>206.3065</v>
      </c>
      <c r="BP3">
        <v>97.306489999999997</v>
      </c>
      <c r="BU3">
        <v>155.3065</v>
      </c>
      <c r="CA3">
        <v>341.30650000000003</v>
      </c>
      <c r="CB3">
        <v>396.30650000000003</v>
      </c>
      <c r="CD3">
        <v>329.30650000000003</v>
      </c>
      <c r="CM3">
        <v>663.30650000000003</v>
      </c>
      <c r="CN3">
        <v>428.30650000000003</v>
      </c>
      <c r="CO3">
        <v>252.3065</v>
      </c>
      <c r="CP3">
        <v>199.3065</v>
      </c>
      <c r="CQ3">
        <v>816.30650000000003</v>
      </c>
      <c r="CW3">
        <v>198.3065</v>
      </c>
      <c r="CY3">
        <v>203.3065</v>
      </c>
      <c r="DC3">
        <v>19.30649</v>
      </c>
      <c r="DD3">
        <v>230.3065</v>
      </c>
      <c r="DF3">
        <v>340.30650000000003</v>
      </c>
      <c r="DH3">
        <v>348.30650000000003</v>
      </c>
      <c r="DI3">
        <v>32.306489999999997</v>
      </c>
      <c r="DM3">
        <v>565.30650000000003</v>
      </c>
      <c r="DN3">
        <v>167.3065</v>
      </c>
      <c r="DQ3">
        <v>434.30650000000003</v>
      </c>
      <c r="DS3">
        <v>78.306494200000003</v>
      </c>
      <c r="DU3">
        <v>210.3065</v>
      </c>
      <c r="DV3">
        <v>1023.306</v>
      </c>
      <c r="DW3">
        <v>149.3065</v>
      </c>
      <c r="DX3">
        <v>1266.306</v>
      </c>
      <c r="DZ3">
        <v>573.30650000000003</v>
      </c>
      <c r="EB3" s="3">
        <f t="shared" si="0"/>
        <v>0.38541666666666669</v>
      </c>
    </row>
    <row r="4" spans="1:134" x14ac:dyDescent="0.25">
      <c r="A4" s="1">
        <v>1906</v>
      </c>
      <c r="B4">
        <v>712.94690000000003</v>
      </c>
      <c r="C4">
        <v>232.76</v>
      </c>
      <c r="D4">
        <v>13.398999999999999</v>
      </c>
      <c r="E4" s="3">
        <v>0.35416666666666669</v>
      </c>
      <c r="F4" t="s">
        <v>412</v>
      </c>
      <c r="G4">
        <v>31.641999999999999</v>
      </c>
      <c r="H4">
        <v>-1</v>
      </c>
      <c r="I4">
        <v>3</v>
      </c>
      <c r="J4">
        <v>36</v>
      </c>
      <c r="K4">
        <v>100</v>
      </c>
      <c r="M4" t="b">
        <v>0</v>
      </c>
      <c r="N4" t="s">
        <v>225</v>
      </c>
      <c r="O4" t="s">
        <v>134</v>
      </c>
      <c r="P4" t="s">
        <v>260</v>
      </c>
      <c r="Q4" t="s">
        <v>202</v>
      </c>
      <c r="R4" t="s">
        <v>203</v>
      </c>
      <c r="S4" t="s">
        <v>261</v>
      </c>
      <c r="T4" t="s">
        <v>137</v>
      </c>
      <c r="U4" t="s">
        <v>228</v>
      </c>
      <c r="V4" t="s">
        <v>137</v>
      </c>
      <c r="W4">
        <v>713</v>
      </c>
      <c r="X4">
        <v>-5.3099999999972197E-2</v>
      </c>
      <c r="Y4">
        <v>712.99243968271401</v>
      </c>
      <c r="Z4">
        <v>713</v>
      </c>
      <c r="AA4">
        <v>-7.5603172864474998E-3</v>
      </c>
      <c r="AB4">
        <v>38</v>
      </c>
      <c r="AC4">
        <v>11</v>
      </c>
      <c r="AD4">
        <v>4</v>
      </c>
      <c r="AE4" t="b">
        <v>1</v>
      </c>
      <c r="AF4" t="s">
        <v>142</v>
      </c>
      <c r="AG4" t="s">
        <v>143</v>
      </c>
      <c r="AH4" t="b">
        <v>0</v>
      </c>
      <c r="AI4" t="b">
        <v>1</v>
      </c>
      <c r="AJ4" t="b">
        <v>1</v>
      </c>
      <c r="AK4" t="b">
        <v>1</v>
      </c>
      <c r="AL4" t="s">
        <v>225</v>
      </c>
      <c r="AM4" t="s">
        <v>228</v>
      </c>
      <c r="AN4" t="b">
        <v>1</v>
      </c>
      <c r="AO4">
        <v>1906</v>
      </c>
      <c r="AS4">
        <v>204.0513</v>
      </c>
      <c r="AV4">
        <v>147.0513</v>
      </c>
      <c r="AW4">
        <v>317.05130000000003</v>
      </c>
      <c r="AY4">
        <v>218.0513</v>
      </c>
      <c r="BA4">
        <v>223.0513</v>
      </c>
      <c r="BE4">
        <v>206.0513</v>
      </c>
      <c r="BI4">
        <v>356.05130000000003</v>
      </c>
      <c r="BN4">
        <v>28.05125</v>
      </c>
      <c r="BP4">
        <v>94.051249999999996</v>
      </c>
      <c r="BS4">
        <v>78.051249999999996</v>
      </c>
      <c r="BZ4">
        <v>144.0513</v>
      </c>
      <c r="CA4">
        <v>219.0513</v>
      </c>
      <c r="CB4">
        <v>296.05130000000003</v>
      </c>
      <c r="CD4">
        <v>157.0513</v>
      </c>
      <c r="CF4">
        <v>102.0513</v>
      </c>
      <c r="CL4">
        <v>11.05125</v>
      </c>
      <c r="CM4">
        <v>526.05129999999997</v>
      </c>
      <c r="CN4">
        <v>127.0513</v>
      </c>
      <c r="CO4">
        <v>384.05130000000003</v>
      </c>
      <c r="CP4">
        <v>329.05130000000003</v>
      </c>
      <c r="CQ4">
        <v>1105.0509999999999</v>
      </c>
      <c r="CU4">
        <v>68.051249999999996</v>
      </c>
      <c r="CY4">
        <v>195.0513</v>
      </c>
      <c r="CZ4">
        <v>156.0513</v>
      </c>
      <c r="DA4">
        <v>141.0513</v>
      </c>
      <c r="DC4">
        <v>79.051249999999996</v>
      </c>
      <c r="DD4">
        <v>209.0513</v>
      </c>
      <c r="DE4">
        <v>62.051250400000001</v>
      </c>
      <c r="DF4">
        <v>106.0513</v>
      </c>
      <c r="DH4">
        <v>179.0513</v>
      </c>
      <c r="DI4">
        <v>520.05129999999997</v>
      </c>
      <c r="DL4">
        <v>132.0513</v>
      </c>
      <c r="DR4">
        <v>2.05125</v>
      </c>
      <c r="DX4">
        <v>161.0513</v>
      </c>
      <c r="EB4" s="3">
        <f t="shared" si="0"/>
        <v>0.35416666666666669</v>
      </c>
    </row>
    <row r="5" spans="1:134" x14ac:dyDescent="0.25">
      <c r="A5" s="1">
        <v>2683</v>
      </c>
      <c r="B5">
        <v>562.95489999999995</v>
      </c>
      <c r="C5">
        <v>205.98</v>
      </c>
      <c r="D5">
        <v>11.718</v>
      </c>
      <c r="E5" s="3">
        <v>0.29166666666666669</v>
      </c>
      <c r="F5" t="s">
        <v>413</v>
      </c>
      <c r="G5">
        <v>27.861000000000001</v>
      </c>
      <c r="H5">
        <v>-1</v>
      </c>
      <c r="I5">
        <v>1</v>
      </c>
      <c r="J5">
        <v>28</v>
      </c>
      <c r="K5">
        <v>99</v>
      </c>
      <c r="M5" t="b">
        <v>0</v>
      </c>
      <c r="N5" t="s">
        <v>225</v>
      </c>
      <c r="O5" t="s">
        <v>134</v>
      </c>
      <c r="P5" t="s">
        <v>266</v>
      </c>
      <c r="Q5" t="s">
        <v>177</v>
      </c>
      <c r="R5" t="s">
        <v>178</v>
      </c>
      <c r="S5" t="s">
        <v>267</v>
      </c>
      <c r="T5" t="s">
        <v>137</v>
      </c>
      <c r="U5" t="s">
        <v>228</v>
      </c>
      <c r="V5" t="s">
        <v>137</v>
      </c>
      <c r="W5">
        <v>563</v>
      </c>
      <c r="X5">
        <v>-4.5100000000047699E-2</v>
      </c>
      <c r="Y5">
        <v>562.99085890174695</v>
      </c>
      <c r="Z5">
        <v>563</v>
      </c>
      <c r="AA5">
        <v>-9.1410982529396001E-3</v>
      </c>
      <c r="AB5">
        <v>38</v>
      </c>
      <c r="AC5">
        <v>11</v>
      </c>
      <c r="AD5">
        <v>4</v>
      </c>
      <c r="AE5" t="b">
        <v>1</v>
      </c>
      <c r="AF5" t="s">
        <v>142</v>
      </c>
      <c r="AG5" t="s">
        <v>143</v>
      </c>
      <c r="AH5" t="b">
        <v>0</v>
      </c>
      <c r="AI5" t="b">
        <v>1</v>
      </c>
      <c r="AJ5" t="b">
        <v>1</v>
      </c>
      <c r="AK5" t="b">
        <v>1</v>
      </c>
      <c r="AL5" t="s">
        <v>225</v>
      </c>
      <c r="AM5" t="s">
        <v>228</v>
      </c>
      <c r="AN5" t="b">
        <v>1</v>
      </c>
      <c r="AO5">
        <v>2683</v>
      </c>
      <c r="AS5">
        <v>157.999</v>
      </c>
      <c r="AV5">
        <v>306.99900000000002</v>
      </c>
      <c r="BE5">
        <v>363.99900000000002</v>
      </c>
      <c r="BH5">
        <v>56.999000000000002</v>
      </c>
      <c r="BP5">
        <v>216.999</v>
      </c>
      <c r="BT5">
        <v>179.999</v>
      </c>
      <c r="BU5">
        <v>311.99900000000002</v>
      </c>
      <c r="BV5">
        <v>61.999000000000002</v>
      </c>
      <c r="CA5">
        <v>289.99900000000002</v>
      </c>
      <c r="CB5">
        <v>296.99900000000002</v>
      </c>
      <c r="CD5">
        <v>118.999</v>
      </c>
      <c r="CI5">
        <v>363.99900000000002</v>
      </c>
      <c r="CM5">
        <v>245.999</v>
      </c>
      <c r="CN5">
        <v>236.999</v>
      </c>
      <c r="CO5">
        <v>210.999</v>
      </c>
      <c r="CP5">
        <v>327.99900000000002</v>
      </c>
      <c r="CQ5">
        <v>410.99900000000002</v>
      </c>
      <c r="CR5">
        <v>185.999</v>
      </c>
      <c r="CW5">
        <v>165.999</v>
      </c>
      <c r="CY5">
        <v>201.999</v>
      </c>
      <c r="DC5">
        <v>119.999</v>
      </c>
      <c r="DD5">
        <v>237.999</v>
      </c>
      <c r="DF5">
        <v>348.99900000000002</v>
      </c>
      <c r="DH5">
        <v>494.99900000000002</v>
      </c>
      <c r="DP5">
        <v>234.999</v>
      </c>
      <c r="DS5">
        <v>147.999</v>
      </c>
      <c r="DT5">
        <v>133.999</v>
      </c>
      <c r="EA5">
        <v>139.999</v>
      </c>
      <c r="EB5" s="3">
        <f t="shared" si="0"/>
        <v>0.29166666666666669</v>
      </c>
    </row>
    <row r="6" spans="1:134" x14ac:dyDescent="0.25">
      <c r="A6" s="1">
        <v>1692</v>
      </c>
      <c r="B6">
        <v>314.93889999999999</v>
      </c>
      <c r="C6">
        <v>166.76</v>
      </c>
      <c r="D6">
        <v>11.195</v>
      </c>
      <c r="E6" s="3">
        <v>0.28125</v>
      </c>
      <c r="F6" t="s">
        <v>404</v>
      </c>
      <c r="G6">
        <v>22.149000000000001</v>
      </c>
      <c r="H6">
        <v>-1</v>
      </c>
      <c r="I6">
        <v>5</v>
      </c>
      <c r="J6">
        <v>38</v>
      </c>
      <c r="K6">
        <v>100</v>
      </c>
      <c r="M6" t="b">
        <v>0</v>
      </c>
      <c r="N6" t="s">
        <v>230</v>
      </c>
      <c r="O6" t="s">
        <v>181</v>
      </c>
      <c r="P6" t="s">
        <v>256</v>
      </c>
      <c r="Q6" t="s">
        <v>257</v>
      </c>
      <c r="R6" t="s">
        <v>258</v>
      </c>
      <c r="S6" t="s">
        <v>259</v>
      </c>
      <c r="T6" t="s">
        <v>137</v>
      </c>
      <c r="U6" t="s">
        <v>231</v>
      </c>
      <c r="V6" t="s">
        <v>137</v>
      </c>
      <c r="W6">
        <v>315</v>
      </c>
      <c r="X6">
        <v>-6.1100000000010403E-2</v>
      </c>
      <c r="Y6">
        <v>314.95901681035502</v>
      </c>
      <c r="Z6">
        <v>315</v>
      </c>
      <c r="AA6">
        <v>-4.09831896454875E-2</v>
      </c>
      <c r="AB6">
        <v>32</v>
      </c>
      <c r="AC6">
        <v>0</v>
      </c>
      <c r="AD6">
        <v>0</v>
      </c>
      <c r="AE6" t="b">
        <v>1</v>
      </c>
      <c r="AH6" t="b">
        <v>0</v>
      </c>
      <c r="AI6" t="b">
        <v>0</v>
      </c>
      <c r="AJ6" t="b">
        <v>0</v>
      </c>
      <c r="AK6" t="b">
        <v>1</v>
      </c>
      <c r="AL6" t="s">
        <v>230</v>
      </c>
      <c r="AM6" t="s">
        <v>231</v>
      </c>
      <c r="AN6" t="b">
        <v>1</v>
      </c>
      <c r="AO6">
        <v>1692</v>
      </c>
      <c r="AP6">
        <v>504.62180000000001</v>
      </c>
      <c r="AQ6">
        <v>833.62180000000001</v>
      </c>
      <c r="AR6">
        <v>42.621789999999997</v>
      </c>
      <c r="AT6">
        <v>175.62180000000001</v>
      </c>
      <c r="AU6">
        <v>295.62180000000001</v>
      </c>
      <c r="AX6">
        <v>91.621790000000004</v>
      </c>
      <c r="BA6">
        <v>321.62180000000001</v>
      </c>
      <c r="BB6">
        <v>16.621790000000001</v>
      </c>
      <c r="BC6">
        <v>184.62180000000001</v>
      </c>
      <c r="BD6">
        <v>141.62180000000001</v>
      </c>
      <c r="BE6">
        <v>61.621789999999997</v>
      </c>
      <c r="BF6">
        <v>17.621790000000001</v>
      </c>
      <c r="BG6">
        <v>66.621789300000003</v>
      </c>
      <c r="BK6">
        <v>27.621790000000001</v>
      </c>
      <c r="BL6">
        <v>33.621789999999997</v>
      </c>
      <c r="BO6">
        <v>405.62180000000001</v>
      </c>
      <c r="BP6">
        <v>43.621789999999997</v>
      </c>
      <c r="BQ6">
        <v>200.62180000000001</v>
      </c>
      <c r="BR6">
        <v>188.62180000000001</v>
      </c>
      <c r="BT6">
        <v>136.62180000000001</v>
      </c>
      <c r="BU6">
        <v>57.621789999999997</v>
      </c>
      <c r="BV6">
        <v>197.62180000000001</v>
      </c>
      <c r="BW6">
        <v>16.621790000000001</v>
      </c>
      <c r="BX6">
        <v>635.62180000000001</v>
      </c>
      <c r="BZ6">
        <v>224.62180000000001</v>
      </c>
      <c r="CB6">
        <v>256.62180000000001</v>
      </c>
      <c r="CH6">
        <v>53.621789300000003</v>
      </c>
      <c r="EB6" s="3">
        <f t="shared" si="0"/>
        <v>0.28125</v>
      </c>
    </row>
    <row r="7" spans="1:134" x14ac:dyDescent="0.25">
      <c r="A7" s="1">
        <v>4751</v>
      </c>
      <c r="B7">
        <v>460.93110000000001</v>
      </c>
      <c r="C7">
        <v>159.59</v>
      </c>
      <c r="D7">
        <v>9.4860000000000007</v>
      </c>
      <c r="E7" s="3">
        <v>0.19791666666666666</v>
      </c>
      <c r="F7" t="s">
        <v>405</v>
      </c>
      <c r="G7">
        <v>21.471</v>
      </c>
      <c r="H7">
        <v>-1</v>
      </c>
      <c r="I7">
        <v>1</v>
      </c>
      <c r="J7">
        <v>19</v>
      </c>
      <c r="K7">
        <v>98.3</v>
      </c>
      <c r="M7" t="b">
        <v>0</v>
      </c>
      <c r="N7" t="s">
        <v>230</v>
      </c>
      <c r="O7" t="s">
        <v>181</v>
      </c>
      <c r="P7" t="s">
        <v>275</v>
      </c>
      <c r="Q7" t="s">
        <v>276</v>
      </c>
      <c r="R7" t="s">
        <v>277</v>
      </c>
      <c r="S7" t="s">
        <v>278</v>
      </c>
      <c r="T7" t="s">
        <v>139</v>
      </c>
      <c r="U7" t="s">
        <v>231</v>
      </c>
      <c r="V7" t="s">
        <v>137</v>
      </c>
      <c r="W7">
        <v>461</v>
      </c>
      <c r="X7">
        <v>-6.8899999999985098E-2</v>
      </c>
      <c r="Y7">
        <v>460.960542102977</v>
      </c>
      <c r="Z7">
        <v>461</v>
      </c>
      <c r="AA7">
        <v>-3.9457897023226003E-2</v>
      </c>
      <c r="AB7">
        <v>35</v>
      </c>
      <c r="AC7">
        <v>0</v>
      </c>
      <c r="AD7">
        <v>0</v>
      </c>
      <c r="AE7" t="b">
        <v>1</v>
      </c>
      <c r="AH7" t="b">
        <v>0</v>
      </c>
      <c r="AI7" t="b">
        <v>0</v>
      </c>
      <c r="AJ7" t="b">
        <v>0</v>
      </c>
      <c r="AK7" t="b">
        <v>1</v>
      </c>
      <c r="AL7" t="s">
        <v>230</v>
      </c>
      <c r="AM7" t="s">
        <v>231</v>
      </c>
      <c r="AN7" t="b">
        <v>1</v>
      </c>
      <c r="AO7">
        <v>4751</v>
      </c>
      <c r="AS7">
        <v>147.999</v>
      </c>
      <c r="AV7">
        <v>179.999</v>
      </c>
      <c r="BE7">
        <v>285.99900000000002</v>
      </c>
      <c r="BI7">
        <v>150.999</v>
      </c>
      <c r="BU7">
        <v>83.998999999999995</v>
      </c>
      <c r="BZ7">
        <v>111.999</v>
      </c>
      <c r="CA7">
        <v>131.999</v>
      </c>
      <c r="CB7">
        <v>276.99900000000002</v>
      </c>
      <c r="CD7">
        <v>305.99900000000002</v>
      </c>
      <c r="CM7">
        <v>124.999</v>
      </c>
      <c r="CN7">
        <v>236.999</v>
      </c>
      <c r="CQ7">
        <v>128.999</v>
      </c>
      <c r="CS7">
        <v>71.998999999999995</v>
      </c>
      <c r="CW7">
        <v>102.999</v>
      </c>
      <c r="CY7">
        <v>127.999</v>
      </c>
      <c r="CZ7">
        <v>122.999</v>
      </c>
      <c r="DH7">
        <v>202.999</v>
      </c>
      <c r="DQ7">
        <v>58.999000000000002</v>
      </c>
      <c r="DX7">
        <v>264.99900000000002</v>
      </c>
      <c r="EB7" s="3">
        <f t="shared" si="0"/>
        <v>0.19791666666666666</v>
      </c>
    </row>
    <row r="8" spans="1:134" x14ac:dyDescent="0.25">
      <c r="A8" s="1">
        <v>7712</v>
      </c>
      <c r="B8">
        <v>412.96350000000001</v>
      </c>
      <c r="C8">
        <v>182.09</v>
      </c>
      <c r="D8">
        <v>9.5060000000000002</v>
      </c>
      <c r="E8" s="3">
        <v>4.1666666666666664E-2</v>
      </c>
      <c r="F8" t="s">
        <v>406</v>
      </c>
      <c r="G8">
        <v>24.425000000000001</v>
      </c>
      <c r="H8">
        <v>-1</v>
      </c>
      <c r="I8">
        <v>1</v>
      </c>
      <c r="J8">
        <v>12</v>
      </c>
      <c r="K8">
        <v>99.6</v>
      </c>
      <c r="M8" t="b">
        <v>0</v>
      </c>
      <c r="N8" t="s">
        <v>225</v>
      </c>
      <c r="O8" t="s">
        <v>166</v>
      </c>
      <c r="P8" t="s">
        <v>292</v>
      </c>
      <c r="S8" t="s">
        <v>240</v>
      </c>
      <c r="U8" t="s">
        <v>228</v>
      </c>
      <c r="V8" t="s">
        <v>137</v>
      </c>
      <c r="W8">
        <v>413</v>
      </c>
      <c r="X8">
        <v>-3.6499999999989499E-2</v>
      </c>
      <c r="Y8">
        <v>412.98987815910601</v>
      </c>
      <c r="Z8">
        <v>413</v>
      </c>
      <c r="AA8">
        <v>-1.01218408941008E-2</v>
      </c>
      <c r="AB8">
        <v>37</v>
      </c>
      <c r="AC8">
        <v>14</v>
      </c>
      <c r="AD8">
        <v>4</v>
      </c>
      <c r="AE8" t="b">
        <v>1</v>
      </c>
      <c r="AF8" t="s">
        <v>142</v>
      </c>
      <c r="AG8" t="s">
        <v>165</v>
      </c>
      <c r="AH8" t="b">
        <v>0</v>
      </c>
      <c r="AI8" t="b">
        <v>1</v>
      </c>
      <c r="AJ8" t="b">
        <v>1</v>
      </c>
      <c r="AK8" t="b">
        <v>0</v>
      </c>
      <c r="AL8" t="s">
        <v>225</v>
      </c>
      <c r="AM8" t="s">
        <v>228</v>
      </c>
      <c r="AN8" t="b">
        <v>1</v>
      </c>
      <c r="AO8">
        <v>7712</v>
      </c>
      <c r="AQ8">
        <v>180.999</v>
      </c>
      <c r="DD8">
        <v>118.999</v>
      </c>
      <c r="DI8">
        <v>64.998999999999995</v>
      </c>
      <c r="DX8">
        <v>98.998999999999995</v>
      </c>
      <c r="EB8" s="3">
        <f t="shared" si="0"/>
        <v>4.1666666666666664E-2</v>
      </c>
    </row>
    <row r="9" spans="1:134" x14ac:dyDescent="0.25">
      <c r="A9" s="1">
        <v>2318</v>
      </c>
      <c r="B9">
        <v>514.92240000000004</v>
      </c>
      <c r="C9">
        <v>172</v>
      </c>
      <c r="D9">
        <v>10.638</v>
      </c>
      <c r="E9" s="3">
        <v>4.1666666666666664E-2</v>
      </c>
      <c r="F9" t="s">
        <v>407</v>
      </c>
      <c r="G9">
        <v>23.212</v>
      </c>
      <c r="H9">
        <v>-1</v>
      </c>
      <c r="I9">
        <v>1</v>
      </c>
      <c r="J9">
        <v>34</v>
      </c>
      <c r="K9">
        <v>99.5</v>
      </c>
      <c r="M9" t="b">
        <v>0</v>
      </c>
      <c r="N9" t="s">
        <v>237</v>
      </c>
      <c r="O9" t="s">
        <v>192</v>
      </c>
      <c r="P9" t="s">
        <v>263</v>
      </c>
      <c r="S9" t="s">
        <v>240</v>
      </c>
      <c r="U9" t="s">
        <v>239</v>
      </c>
      <c r="V9" t="s">
        <v>137</v>
      </c>
      <c r="W9">
        <v>515</v>
      </c>
      <c r="X9">
        <v>-7.7599999999961297E-2</v>
      </c>
      <c r="Y9">
        <v>514.955290812371</v>
      </c>
      <c r="Z9">
        <v>515</v>
      </c>
      <c r="AA9">
        <v>-4.4709187629450801E-2</v>
      </c>
      <c r="AB9">
        <v>34</v>
      </c>
      <c r="AC9">
        <v>9</v>
      </c>
      <c r="AD9">
        <v>3</v>
      </c>
      <c r="AE9" t="b">
        <v>1</v>
      </c>
      <c r="AF9" t="s">
        <v>142</v>
      </c>
      <c r="AG9" t="s">
        <v>143</v>
      </c>
      <c r="AH9" t="b">
        <v>0</v>
      </c>
      <c r="AI9" t="b">
        <v>1</v>
      </c>
      <c r="AJ9" t="b">
        <v>1</v>
      </c>
      <c r="AK9" t="b">
        <v>0</v>
      </c>
      <c r="AL9" t="s">
        <v>237</v>
      </c>
      <c r="AM9" t="s">
        <v>239</v>
      </c>
      <c r="AN9" t="b">
        <v>1</v>
      </c>
      <c r="AO9">
        <v>2318</v>
      </c>
      <c r="AS9">
        <v>220.02629999999999</v>
      </c>
      <c r="BE9">
        <v>239.02629999999999</v>
      </c>
      <c r="BU9">
        <v>113.02630000000001</v>
      </c>
      <c r="CB9">
        <v>324.02629999999999</v>
      </c>
      <c r="EB9" s="3">
        <f t="shared" si="0"/>
        <v>4.1666666666666664E-2</v>
      </c>
    </row>
    <row r="10" spans="1:134" x14ac:dyDescent="0.25">
      <c r="A10" s="1">
        <v>6811</v>
      </c>
      <c r="B10">
        <v>480.96789999999999</v>
      </c>
      <c r="C10">
        <v>165.79</v>
      </c>
      <c r="D10">
        <v>10.542</v>
      </c>
      <c r="E10" s="3">
        <v>3.125E-2</v>
      </c>
      <c r="F10" t="s">
        <v>408</v>
      </c>
      <c r="G10">
        <v>22.343</v>
      </c>
      <c r="H10">
        <v>-1</v>
      </c>
      <c r="I10">
        <v>1</v>
      </c>
      <c r="J10">
        <v>17</v>
      </c>
      <c r="K10">
        <v>99.4</v>
      </c>
      <c r="M10" t="b">
        <v>0</v>
      </c>
      <c r="N10" t="s">
        <v>237</v>
      </c>
      <c r="O10" t="s">
        <v>145</v>
      </c>
      <c r="P10" t="s">
        <v>283</v>
      </c>
      <c r="S10" t="s">
        <v>240</v>
      </c>
      <c r="U10" t="s">
        <v>239</v>
      </c>
      <c r="V10" t="s">
        <v>137</v>
      </c>
      <c r="W10">
        <v>481</v>
      </c>
      <c r="X10">
        <v>-3.2100000000013999E-2</v>
      </c>
      <c r="Y10">
        <v>480.99862195918303</v>
      </c>
      <c r="Z10">
        <v>481</v>
      </c>
      <c r="AA10">
        <v>-1.3780408171442E-3</v>
      </c>
      <c r="AB10">
        <v>32</v>
      </c>
      <c r="AC10">
        <v>10</v>
      </c>
      <c r="AD10">
        <v>4</v>
      </c>
      <c r="AE10" t="b">
        <v>1</v>
      </c>
      <c r="AF10" t="s">
        <v>142</v>
      </c>
      <c r="AG10" t="s">
        <v>143</v>
      </c>
      <c r="AH10" t="b">
        <v>0</v>
      </c>
      <c r="AI10" t="b">
        <v>1</v>
      </c>
      <c r="AJ10" t="b">
        <v>1</v>
      </c>
      <c r="AK10" t="b">
        <v>0</v>
      </c>
      <c r="AL10" t="s">
        <v>237</v>
      </c>
      <c r="AM10" t="s">
        <v>239</v>
      </c>
      <c r="AN10" t="b">
        <v>1</v>
      </c>
      <c r="AO10">
        <v>6811</v>
      </c>
      <c r="AY10">
        <v>116.8349</v>
      </c>
      <c r="BY10">
        <v>66.834950000000006</v>
      </c>
      <c r="CQ10">
        <v>83.834950000000006</v>
      </c>
      <c r="EB10" s="3">
        <f t="shared" si="0"/>
        <v>3.125E-2</v>
      </c>
    </row>
    <row r="11" spans="1:134" x14ac:dyDescent="0.25">
      <c r="A11" s="1">
        <v>2216</v>
      </c>
      <c r="B11">
        <v>281.04289999999997</v>
      </c>
      <c r="C11">
        <v>153.5</v>
      </c>
      <c r="D11">
        <v>2.9740000000000002</v>
      </c>
      <c r="E11" s="3">
        <v>2.0833333333333332E-2</v>
      </c>
      <c r="F11" t="s">
        <v>408</v>
      </c>
      <c r="G11">
        <v>20.286999999999999</v>
      </c>
      <c r="H11">
        <v>-1</v>
      </c>
      <c r="I11">
        <v>1</v>
      </c>
      <c r="J11">
        <v>42</v>
      </c>
      <c r="K11">
        <v>99.8</v>
      </c>
      <c r="M11" t="b">
        <v>0</v>
      </c>
      <c r="N11" t="s">
        <v>237</v>
      </c>
      <c r="O11" t="s">
        <v>248</v>
      </c>
      <c r="P11" t="s">
        <v>262</v>
      </c>
      <c r="S11" t="s">
        <v>240</v>
      </c>
      <c r="U11" t="s">
        <v>239</v>
      </c>
      <c r="V11" t="s">
        <v>137</v>
      </c>
      <c r="W11">
        <v>281</v>
      </c>
      <c r="X11">
        <v>4.2899999999974597E-2</v>
      </c>
      <c r="Y11">
        <v>281.06085169387097</v>
      </c>
      <c r="Z11">
        <v>281</v>
      </c>
      <c r="AA11">
        <v>6.0851693870688499E-2</v>
      </c>
      <c r="AB11">
        <v>43</v>
      </c>
      <c r="AC11">
        <v>16</v>
      </c>
      <c r="AD11">
        <v>3</v>
      </c>
      <c r="AE11" t="b">
        <v>1</v>
      </c>
      <c r="AF11" t="s">
        <v>142</v>
      </c>
      <c r="AG11" t="s">
        <v>143</v>
      </c>
      <c r="AH11" t="b">
        <v>0</v>
      </c>
      <c r="AI11" t="b">
        <v>1</v>
      </c>
      <c r="AJ11" t="b">
        <v>1</v>
      </c>
      <c r="AK11" t="b">
        <v>0</v>
      </c>
      <c r="AL11" t="s">
        <v>237</v>
      </c>
      <c r="AM11" t="s">
        <v>239</v>
      </c>
      <c r="AN11" t="b">
        <v>1</v>
      </c>
      <c r="AO11">
        <v>2216</v>
      </c>
      <c r="BK11">
        <v>18.87932</v>
      </c>
      <c r="CQ11">
        <v>99.879320000000007</v>
      </c>
      <c r="EB11" s="3">
        <f t="shared" si="0"/>
        <v>2.0833333333333332E-2</v>
      </c>
    </row>
    <row r="12" spans="1:134" x14ac:dyDescent="0.25">
      <c r="A12" s="1">
        <v>1559</v>
      </c>
      <c r="B12">
        <v>662.94849999999997</v>
      </c>
      <c r="C12">
        <v>224.53</v>
      </c>
      <c r="D12">
        <v>12.965</v>
      </c>
      <c r="E12" s="3">
        <v>2.0833333333333332E-2</v>
      </c>
      <c r="F12" t="s">
        <v>414</v>
      </c>
      <c r="G12">
        <v>30.48</v>
      </c>
      <c r="H12">
        <v>-1</v>
      </c>
      <c r="I12">
        <v>2</v>
      </c>
      <c r="J12">
        <v>59</v>
      </c>
      <c r="K12">
        <v>100</v>
      </c>
      <c r="M12" t="b">
        <v>0</v>
      </c>
      <c r="N12" t="s">
        <v>225</v>
      </c>
      <c r="O12" t="s">
        <v>193</v>
      </c>
      <c r="P12" t="s">
        <v>254</v>
      </c>
      <c r="Q12" t="s">
        <v>195</v>
      </c>
      <c r="R12" t="s">
        <v>196</v>
      </c>
      <c r="S12" t="s">
        <v>255</v>
      </c>
      <c r="T12" t="s">
        <v>137</v>
      </c>
      <c r="U12" t="s">
        <v>228</v>
      </c>
      <c r="V12" t="s">
        <v>137</v>
      </c>
      <c r="W12">
        <v>663</v>
      </c>
      <c r="X12">
        <v>-5.15000000000327E-2</v>
      </c>
      <c r="Y12">
        <v>662.99084602092398</v>
      </c>
      <c r="Z12">
        <v>663</v>
      </c>
      <c r="AA12">
        <v>-9.1539790756769001E-3</v>
      </c>
      <c r="AB12">
        <v>36</v>
      </c>
      <c r="AC12">
        <v>19</v>
      </c>
      <c r="AD12">
        <v>3</v>
      </c>
      <c r="AE12" t="b">
        <v>1</v>
      </c>
      <c r="AF12" t="s">
        <v>142</v>
      </c>
      <c r="AG12" t="s">
        <v>143</v>
      </c>
      <c r="AH12" t="b">
        <v>0</v>
      </c>
      <c r="AI12" t="b">
        <v>1</v>
      </c>
      <c r="AJ12" t="b">
        <v>1</v>
      </c>
      <c r="AK12" t="b">
        <v>1</v>
      </c>
      <c r="AL12" t="s">
        <v>225</v>
      </c>
      <c r="AM12" t="s">
        <v>228</v>
      </c>
      <c r="AN12" t="b">
        <v>1</v>
      </c>
      <c r="AO12">
        <v>1559</v>
      </c>
      <c r="BA12">
        <v>131.60570000000001</v>
      </c>
      <c r="CQ12">
        <v>253.60570000000001</v>
      </c>
      <c r="EB12" s="3">
        <f t="shared" si="0"/>
        <v>2.0833333333333332E-2</v>
      </c>
    </row>
    <row r="13" spans="1:134" x14ac:dyDescent="0.25">
      <c r="A13" s="1">
        <v>745</v>
      </c>
      <c r="B13">
        <v>498.92790000000002</v>
      </c>
      <c r="C13">
        <v>163.35</v>
      </c>
      <c r="D13">
        <v>9.9039999999999999</v>
      </c>
      <c r="E13" s="3">
        <v>1.0416666666666666E-2</v>
      </c>
      <c r="F13" t="s">
        <v>415</v>
      </c>
      <c r="G13">
        <v>22.03</v>
      </c>
      <c r="H13">
        <v>-1</v>
      </c>
      <c r="I13">
        <v>2</v>
      </c>
      <c r="J13">
        <v>76</v>
      </c>
      <c r="K13">
        <v>100</v>
      </c>
      <c r="M13" t="b">
        <v>0</v>
      </c>
      <c r="N13" t="s">
        <v>230</v>
      </c>
      <c r="O13" t="s">
        <v>181</v>
      </c>
      <c r="P13" t="s">
        <v>227</v>
      </c>
      <c r="Q13" t="s">
        <v>136</v>
      </c>
      <c r="S13" t="s">
        <v>229</v>
      </c>
      <c r="T13" t="s">
        <v>137</v>
      </c>
      <c r="U13" t="s">
        <v>231</v>
      </c>
      <c r="V13" t="s">
        <v>137</v>
      </c>
      <c r="W13">
        <v>499</v>
      </c>
      <c r="X13">
        <v>-7.2099999999977599E-2</v>
      </c>
      <c r="Y13">
        <v>498.95976915920801</v>
      </c>
      <c r="Z13">
        <v>499</v>
      </c>
      <c r="AA13">
        <v>-4.0230840792048597E-2</v>
      </c>
      <c r="AB13">
        <v>32</v>
      </c>
      <c r="AC13">
        <v>0</v>
      </c>
      <c r="AD13">
        <v>0</v>
      </c>
      <c r="AE13" t="b">
        <v>1</v>
      </c>
      <c r="AH13" t="b">
        <v>0</v>
      </c>
      <c r="AI13" t="b">
        <v>0</v>
      </c>
      <c r="AJ13" t="b">
        <v>0</v>
      </c>
      <c r="AK13" t="b">
        <v>1</v>
      </c>
      <c r="AL13" t="s">
        <v>230</v>
      </c>
      <c r="AM13" t="s">
        <v>231</v>
      </c>
      <c r="AN13" t="b">
        <v>1</v>
      </c>
      <c r="AO13">
        <v>745</v>
      </c>
      <c r="BB13">
        <v>60.418170000000003</v>
      </c>
      <c r="EB13" s="3">
        <f t="shared" si="0"/>
        <v>1.0416666666666666E-2</v>
      </c>
    </row>
    <row r="14" spans="1:134" x14ac:dyDescent="0.25">
      <c r="A14" s="1">
        <v>5135</v>
      </c>
      <c r="B14">
        <v>448.96550000000002</v>
      </c>
      <c r="C14">
        <v>173.02</v>
      </c>
      <c r="D14">
        <v>10.999000000000001</v>
      </c>
      <c r="E14" s="3">
        <v>1.0416666666666666E-2</v>
      </c>
      <c r="F14" t="s">
        <v>409</v>
      </c>
      <c r="G14">
        <v>23.263000000000002</v>
      </c>
      <c r="H14">
        <v>-1</v>
      </c>
      <c r="I14">
        <v>1</v>
      </c>
      <c r="J14">
        <v>13</v>
      </c>
      <c r="K14">
        <v>95.2</v>
      </c>
      <c r="M14" t="b">
        <v>0</v>
      </c>
      <c r="N14" t="s">
        <v>237</v>
      </c>
      <c r="O14" t="s">
        <v>192</v>
      </c>
      <c r="P14" t="s">
        <v>280</v>
      </c>
      <c r="S14" t="s">
        <v>240</v>
      </c>
      <c r="U14" t="s">
        <v>239</v>
      </c>
      <c r="V14" t="s">
        <v>137</v>
      </c>
      <c r="W14">
        <v>449</v>
      </c>
      <c r="X14">
        <v>-3.4499999999979998E-2</v>
      </c>
      <c r="Y14">
        <v>448.99417779692902</v>
      </c>
      <c r="Z14">
        <v>449</v>
      </c>
      <c r="AA14">
        <v>-5.8222030710907997E-3</v>
      </c>
      <c r="AB14">
        <v>38</v>
      </c>
      <c r="AC14">
        <v>9</v>
      </c>
      <c r="AD14">
        <v>3</v>
      </c>
      <c r="AE14" t="b">
        <v>1</v>
      </c>
      <c r="AF14" t="s">
        <v>142</v>
      </c>
      <c r="AG14" t="s">
        <v>143</v>
      </c>
      <c r="AH14" t="b">
        <v>0</v>
      </c>
      <c r="AI14" t="b">
        <v>1</v>
      </c>
      <c r="AJ14" t="b">
        <v>1</v>
      </c>
      <c r="AK14" t="b">
        <v>0</v>
      </c>
      <c r="AL14" t="s">
        <v>237</v>
      </c>
      <c r="AM14" t="s">
        <v>239</v>
      </c>
      <c r="AN14" t="b">
        <v>1</v>
      </c>
      <c r="AO14">
        <v>5135</v>
      </c>
      <c r="DZ14">
        <v>280.99900000000002</v>
      </c>
      <c r="EB14" s="3">
        <f t="shared" si="0"/>
        <v>1.0416666666666666E-2</v>
      </c>
    </row>
    <row r="15" spans="1:134" x14ac:dyDescent="0.25">
      <c r="A15" s="1" t="s">
        <v>0</v>
      </c>
      <c r="B15" s="1" t="s">
        <v>6</v>
      </c>
      <c r="C15" s="1" t="s">
        <v>12</v>
      </c>
      <c r="D15" s="1" t="s">
        <v>7</v>
      </c>
      <c r="E15" s="4" t="s">
        <v>336</v>
      </c>
      <c r="F15" s="4" t="s">
        <v>340</v>
      </c>
      <c r="G15" s="1" t="s">
        <v>11</v>
      </c>
      <c r="H15" s="1" t="s">
        <v>13</v>
      </c>
      <c r="I15" s="1" t="s">
        <v>14</v>
      </c>
      <c r="J15" s="1" t="s">
        <v>15</v>
      </c>
      <c r="K15" s="1" t="s">
        <v>16</v>
      </c>
      <c r="L15" s="1" t="s">
        <v>17</v>
      </c>
      <c r="M15" s="1" t="s">
        <v>18</v>
      </c>
      <c r="N15" s="1" t="s">
        <v>1</v>
      </c>
      <c r="O15" s="1" t="s">
        <v>2</v>
      </c>
      <c r="P15" s="1" t="s">
        <v>3</v>
      </c>
      <c r="Q15" s="1" t="s">
        <v>4</v>
      </c>
      <c r="R15" s="1" t="s">
        <v>5</v>
      </c>
      <c r="S15" s="1" t="s">
        <v>19</v>
      </c>
      <c r="T15" s="1" t="s">
        <v>8</v>
      </c>
      <c r="U15" s="1" t="s">
        <v>9</v>
      </c>
      <c r="V15" s="1" t="s">
        <v>10</v>
      </c>
      <c r="W15" s="1" t="s">
        <v>20</v>
      </c>
      <c r="X15" s="1" t="s">
        <v>21</v>
      </c>
      <c r="Y15" s="1" t="s">
        <v>22</v>
      </c>
      <c r="Z15" s="1" t="s">
        <v>23</v>
      </c>
      <c r="AA15" s="1" t="s">
        <v>24</v>
      </c>
      <c r="AB15" s="1" t="s">
        <v>25</v>
      </c>
      <c r="AC15" s="1" t="s">
        <v>26</v>
      </c>
      <c r="AD15" s="1" t="s">
        <v>27</v>
      </c>
      <c r="AE15" s="1" t="s">
        <v>28</v>
      </c>
      <c r="AF15" s="1" t="s">
        <v>29</v>
      </c>
      <c r="AG15" s="1" t="s">
        <v>30</v>
      </c>
      <c r="AH15" s="1" t="s">
        <v>31</v>
      </c>
      <c r="AI15" s="1" t="s">
        <v>32</v>
      </c>
      <c r="AJ15" s="1" t="s">
        <v>33</v>
      </c>
      <c r="AK15" s="1" t="s">
        <v>34</v>
      </c>
      <c r="AL15" s="1" t="s">
        <v>35</v>
      </c>
      <c r="AM15" s="1" t="s">
        <v>36</v>
      </c>
      <c r="AN15" s="1" t="s">
        <v>219</v>
      </c>
      <c r="AO15" s="1" t="s">
        <v>0</v>
      </c>
      <c r="AP15" s="1" t="s">
        <v>43</v>
      </c>
      <c r="AQ15" s="1" t="s">
        <v>44</v>
      </c>
      <c r="AR15" s="1" t="s">
        <v>45</v>
      </c>
      <c r="AS15" s="1" t="s">
        <v>46</v>
      </c>
      <c r="AT15" s="1" t="s">
        <v>47</v>
      </c>
      <c r="AU15" s="1" t="s">
        <v>48</v>
      </c>
      <c r="AV15" s="1" t="s">
        <v>49</v>
      </c>
      <c r="AW15" s="1" t="s">
        <v>50</v>
      </c>
      <c r="AX15" s="1" t="s">
        <v>51</v>
      </c>
      <c r="AY15" s="1" t="s">
        <v>52</v>
      </c>
      <c r="AZ15" s="1" t="s">
        <v>53</v>
      </c>
      <c r="BA15" s="1" t="s">
        <v>54</v>
      </c>
      <c r="BB15" s="1" t="s">
        <v>297</v>
      </c>
      <c r="BC15" s="1" t="s">
        <v>55</v>
      </c>
      <c r="BD15" s="1" t="s">
        <v>56</v>
      </c>
      <c r="BE15" s="1" t="s">
        <v>57</v>
      </c>
      <c r="BF15" s="1" t="s">
        <v>220</v>
      </c>
      <c r="BG15" s="1" t="s">
        <v>58</v>
      </c>
      <c r="BH15" s="1" t="s">
        <v>59</v>
      </c>
      <c r="BI15" s="1" t="s">
        <v>221</v>
      </c>
      <c r="BJ15" s="1" t="s">
        <v>60</v>
      </c>
      <c r="BK15" s="1" t="s">
        <v>61</v>
      </c>
      <c r="BL15" s="1" t="s">
        <v>62</v>
      </c>
      <c r="BM15" s="1" t="s">
        <v>63</v>
      </c>
      <c r="BN15" s="1" t="s">
        <v>64</v>
      </c>
      <c r="BO15" s="1" t="s">
        <v>65</v>
      </c>
      <c r="BP15" s="1" t="s">
        <v>66</v>
      </c>
      <c r="BQ15" s="1" t="s">
        <v>67</v>
      </c>
      <c r="BR15" s="1" t="s">
        <v>68</v>
      </c>
      <c r="BS15" s="1" t="s">
        <v>69</v>
      </c>
      <c r="BT15" s="1" t="s">
        <v>70</v>
      </c>
      <c r="BU15" s="1" t="s">
        <v>71</v>
      </c>
      <c r="BV15" s="1" t="s">
        <v>72</v>
      </c>
      <c r="BW15" s="1" t="s">
        <v>73</v>
      </c>
      <c r="BX15" s="1" t="s">
        <v>74</v>
      </c>
      <c r="BY15" s="1" t="s">
        <v>75</v>
      </c>
      <c r="BZ15" s="1" t="s">
        <v>223</v>
      </c>
      <c r="CA15" s="1" t="s">
        <v>76</v>
      </c>
      <c r="CB15" s="1" t="s">
        <v>77</v>
      </c>
      <c r="CC15" s="1" t="s">
        <v>78</v>
      </c>
      <c r="CD15" s="1" t="s">
        <v>79</v>
      </c>
      <c r="CE15" s="1" t="s">
        <v>80</v>
      </c>
      <c r="CF15" s="1" t="s">
        <v>81</v>
      </c>
      <c r="CG15" s="1" t="s">
        <v>82</v>
      </c>
      <c r="CH15" s="1" t="s">
        <v>83</v>
      </c>
      <c r="CI15" s="1" t="s">
        <v>84</v>
      </c>
      <c r="CJ15" s="1" t="s">
        <v>85</v>
      </c>
      <c r="CK15" s="1" t="s">
        <v>86</v>
      </c>
      <c r="CL15" s="1" t="s">
        <v>87</v>
      </c>
      <c r="CM15" s="1" t="s">
        <v>88</v>
      </c>
      <c r="CN15" s="1" t="s">
        <v>89</v>
      </c>
      <c r="CO15" s="1" t="s">
        <v>91</v>
      </c>
      <c r="CP15" s="1" t="s">
        <v>92</v>
      </c>
      <c r="CQ15" s="1" t="s">
        <v>93</v>
      </c>
      <c r="CR15" s="1" t="s">
        <v>94</v>
      </c>
      <c r="CS15" s="1" t="s">
        <v>95</v>
      </c>
      <c r="CT15" s="1" t="s">
        <v>96</v>
      </c>
      <c r="CU15" s="1" t="s">
        <v>97</v>
      </c>
      <c r="CV15" s="1" t="s">
        <v>224</v>
      </c>
      <c r="CW15" s="1" t="s">
        <v>98</v>
      </c>
      <c r="CX15" s="1" t="s">
        <v>99</v>
      </c>
      <c r="CY15" s="1" t="s">
        <v>100</v>
      </c>
      <c r="CZ15" s="1" t="s">
        <v>101</v>
      </c>
      <c r="DA15" s="1" t="s">
        <v>102</v>
      </c>
      <c r="DB15" s="1" t="s">
        <v>103</v>
      </c>
      <c r="DC15" s="1" t="s">
        <v>104</v>
      </c>
      <c r="DD15" s="1" t="s">
        <v>105</v>
      </c>
      <c r="DE15" s="1" t="s">
        <v>106</v>
      </c>
      <c r="DF15" s="1" t="s">
        <v>107</v>
      </c>
      <c r="DG15" s="1" t="s">
        <v>108</v>
      </c>
      <c r="DH15" s="1" t="s">
        <v>109</v>
      </c>
      <c r="DI15" s="1" t="s">
        <v>110</v>
      </c>
      <c r="DJ15" s="1" t="s">
        <v>111</v>
      </c>
      <c r="DK15" s="1" t="s">
        <v>112</v>
      </c>
      <c r="DL15" s="1" t="s">
        <v>113</v>
      </c>
      <c r="DM15" s="1" t="s">
        <v>115</v>
      </c>
      <c r="DN15" s="1" t="s">
        <v>116</v>
      </c>
      <c r="DO15" s="1" t="s">
        <v>117</v>
      </c>
      <c r="DP15" s="1" t="s">
        <v>118</v>
      </c>
      <c r="DQ15" s="1" t="s">
        <v>119</v>
      </c>
      <c r="DR15" s="1" t="s">
        <v>120</v>
      </c>
      <c r="DS15" s="1" t="s">
        <v>121</v>
      </c>
      <c r="DT15" s="1" t="s">
        <v>122</v>
      </c>
      <c r="DU15" s="1" t="s">
        <v>123</v>
      </c>
      <c r="DV15" s="1" t="s">
        <v>124</v>
      </c>
      <c r="DW15" s="1" t="s">
        <v>125</v>
      </c>
      <c r="DX15" s="1" t="s">
        <v>126</v>
      </c>
      <c r="DY15" s="1" t="s">
        <v>127</v>
      </c>
      <c r="DZ15" s="1" t="s">
        <v>128</v>
      </c>
      <c r="EA15" s="1" t="s">
        <v>129</v>
      </c>
      <c r="EB15" s="1" t="s">
        <v>131</v>
      </c>
      <c r="EC15" s="1" t="s">
        <v>132</v>
      </c>
      <c r="ED15" s="2" t="s">
        <v>336</v>
      </c>
    </row>
    <row r="16" spans="1:134" x14ac:dyDescent="0.25">
      <c r="A16" s="1">
        <v>1599</v>
      </c>
      <c r="B16">
        <v>568.96220000000005</v>
      </c>
      <c r="C16">
        <v>216.24</v>
      </c>
      <c r="D16">
        <v>12.464</v>
      </c>
      <c r="E16" s="3">
        <v>0.47916666666666669</v>
      </c>
      <c r="F16" t="s">
        <v>416</v>
      </c>
      <c r="G16">
        <v>29.256</v>
      </c>
      <c r="H16">
        <v>-1</v>
      </c>
      <c r="I16">
        <v>2</v>
      </c>
      <c r="J16">
        <v>47</v>
      </c>
      <c r="K16">
        <v>99.6</v>
      </c>
      <c r="M16" t="b">
        <v>0</v>
      </c>
      <c r="N16" t="s">
        <v>225</v>
      </c>
      <c r="O16" t="s">
        <v>152</v>
      </c>
      <c r="P16" t="s">
        <v>161</v>
      </c>
      <c r="Q16" t="s">
        <v>162</v>
      </c>
      <c r="R16" t="s">
        <v>163</v>
      </c>
      <c r="S16" t="s">
        <v>311</v>
      </c>
      <c r="T16" t="s">
        <v>137</v>
      </c>
      <c r="U16" t="s">
        <v>228</v>
      </c>
      <c r="V16" t="s">
        <v>137</v>
      </c>
      <c r="W16">
        <v>569</v>
      </c>
      <c r="X16">
        <v>-3.7799999999947403E-2</v>
      </c>
      <c r="Y16">
        <v>568.99854261971495</v>
      </c>
      <c r="Z16">
        <v>569</v>
      </c>
      <c r="AA16">
        <v>-1.4573802845915999E-3</v>
      </c>
      <c r="AB16">
        <v>35</v>
      </c>
      <c r="AC16">
        <v>7</v>
      </c>
      <c r="AD16">
        <v>2</v>
      </c>
      <c r="AE16" t="b">
        <v>1</v>
      </c>
      <c r="AF16" t="s">
        <v>142</v>
      </c>
      <c r="AG16" t="s">
        <v>143</v>
      </c>
      <c r="AH16" t="b">
        <v>0</v>
      </c>
      <c r="AI16" t="b">
        <v>1</v>
      </c>
      <c r="AJ16" t="b">
        <v>0</v>
      </c>
      <c r="AK16" t="b">
        <v>1</v>
      </c>
      <c r="AL16" t="s">
        <v>225</v>
      </c>
      <c r="AM16" t="s">
        <v>228</v>
      </c>
      <c r="AN16" t="b">
        <v>0</v>
      </c>
      <c r="AO16">
        <v>1599</v>
      </c>
      <c r="AP16">
        <v>90.998999999999995</v>
      </c>
      <c r="AQ16">
        <v>151.999</v>
      </c>
      <c r="AS16">
        <v>264.99900000000002</v>
      </c>
      <c r="AU16">
        <v>118.999</v>
      </c>
      <c r="AV16">
        <v>545.99900000000002</v>
      </c>
      <c r="AW16">
        <v>200.999</v>
      </c>
      <c r="BA16">
        <v>77.998999999999995</v>
      </c>
      <c r="BC16">
        <v>257.99900000000002</v>
      </c>
      <c r="BD16">
        <v>113.999</v>
      </c>
      <c r="BG16">
        <v>427.99900000000002</v>
      </c>
      <c r="BH16">
        <v>205.999</v>
      </c>
      <c r="BK16">
        <v>371.99900000000002</v>
      </c>
      <c r="BN16">
        <v>142.999</v>
      </c>
      <c r="BQ16">
        <v>276.99900000000002</v>
      </c>
      <c r="BT16">
        <v>143.999</v>
      </c>
      <c r="BU16">
        <v>174.999</v>
      </c>
      <c r="BV16">
        <v>258.99900000000002</v>
      </c>
      <c r="BY16">
        <v>88.998999999999995</v>
      </c>
      <c r="CA16">
        <v>321.99900000000002</v>
      </c>
      <c r="CB16">
        <v>330.99900000000002</v>
      </c>
      <c r="CC16">
        <v>419.99900000000002</v>
      </c>
      <c r="CD16">
        <v>110.999</v>
      </c>
      <c r="CE16">
        <v>278.99900000000002</v>
      </c>
      <c r="CG16">
        <v>165.999</v>
      </c>
      <c r="CN16">
        <v>128.999</v>
      </c>
      <c r="CO16">
        <v>559.99900000000002</v>
      </c>
      <c r="CP16">
        <v>431.99900000000002</v>
      </c>
      <c r="CQ16">
        <v>379.99900000000002</v>
      </c>
      <c r="CR16">
        <v>375.99900000000002</v>
      </c>
      <c r="CS16">
        <v>1070.999</v>
      </c>
      <c r="CT16">
        <v>321.99900000000002</v>
      </c>
      <c r="CU16">
        <v>234.999</v>
      </c>
      <c r="CX16">
        <v>150.999</v>
      </c>
      <c r="CY16">
        <v>319.99900000000002</v>
      </c>
      <c r="DA16">
        <v>362.99900000000002</v>
      </c>
      <c r="DB16">
        <v>233.999</v>
      </c>
      <c r="DE16">
        <v>228.999</v>
      </c>
      <c r="DF16">
        <v>354.99900000000002</v>
      </c>
      <c r="DG16">
        <v>133.999</v>
      </c>
      <c r="DH16">
        <v>296.99900000000002</v>
      </c>
      <c r="DI16">
        <v>134.999</v>
      </c>
      <c r="DJ16">
        <v>222.999</v>
      </c>
      <c r="DK16">
        <v>244.999</v>
      </c>
      <c r="DM16">
        <v>94.998999999999995</v>
      </c>
      <c r="EB16">
        <v>66.998999999999995</v>
      </c>
      <c r="EC16">
        <v>169.999</v>
      </c>
      <c r="ED16" s="3">
        <f t="shared" ref="ED16:ED30" si="1">COUNT(AP16:EC16)/96</f>
        <v>0.47916666666666669</v>
      </c>
    </row>
    <row r="17" spans="1:134" x14ac:dyDescent="0.25">
      <c r="A17" s="1">
        <v>110</v>
      </c>
      <c r="B17">
        <v>468.9692</v>
      </c>
      <c r="C17">
        <v>174.45</v>
      </c>
      <c r="D17">
        <v>11.222</v>
      </c>
      <c r="E17" s="3">
        <v>0.4375</v>
      </c>
      <c r="F17" t="s">
        <v>417</v>
      </c>
      <c r="G17">
        <v>23.486999999999998</v>
      </c>
      <c r="H17">
        <v>-1</v>
      </c>
      <c r="I17">
        <v>2</v>
      </c>
      <c r="J17">
        <v>106</v>
      </c>
      <c r="K17">
        <v>100</v>
      </c>
      <c r="M17" t="b">
        <v>0</v>
      </c>
      <c r="N17" t="s">
        <v>225</v>
      </c>
      <c r="O17" t="s">
        <v>152</v>
      </c>
      <c r="P17" t="s">
        <v>153</v>
      </c>
      <c r="Q17" t="s">
        <v>154</v>
      </c>
      <c r="R17" t="s">
        <v>155</v>
      </c>
      <c r="S17" t="s">
        <v>298</v>
      </c>
      <c r="T17" t="s">
        <v>137</v>
      </c>
      <c r="U17" t="s">
        <v>228</v>
      </c>
      <c r="V17" t="s">
        <v>137</v>
      </c>
      <c r="W17">
        <v>469</v>
      </c>
      <c r="X17">
        <v>-3.07999999999993E-2</v>
      </c>
      <c r="Y17">
        <v>468.99915553886302</v>
      </c>
      <c r="Z17">
        <v>469</v>
      </c>
      <c r="AA17">
        <v>-8.4446113675080005E-4</v>
      </c>
      <c r="AB17">
        <v>35</v>
      </c>
      <c r="AC17">
        <v>7</v>
      </c>
      <c r="AD17">
        <v>2</v>
      </c>
      <c r="AE17" t="b">
        <v>1</v>
      </c>
      <c r="AF17" t="s">
        <v>142</v>
      </c>
      <c r="AG17" t="s">
        <v>143</v>
      </c>
      <c r="AH17" t="b">
        <v>0</v>
      </c>
      <c r="AI17" t="b">
        <v>1</v>
      </c>
      <c r="AJ17" t="b">
        <v>0</v>
      </c>
      <c r="AK17" t="b">
        <v>1</v>
      </c>
      <c r="AL17" t="s">
        <v>225</v>
      </c>
      <c r="AM17" t="s">
        <v>228</v>
      </c>
      <c r="AN17" t="b">
        <v>0</v>
      </c>
      <c r="AO17">
        <v>110</v>
      </c>
      <c r="AP17">
        <v>1261.8610000000001</v>
      </c>
      <c r="AQ17">
        <v>5194.8609999999999</v>
      </c>
      <c r="AS17">
        <v>35.860509999999998</v>
      </c>
      <c r="AT17">
        <v>3202.8609999999999</v>
      </c>
      <c r="AU17">
        <v>4765.8609999999999</v>
      </c>
      <c r="AV17">
        <v>2268.8609999999999</v>
      </c>
      <c r="AY17">
        <v>364.8605</v>
      </c>
      <c r="BC17">
        <v>68.860510000000005</v>
      </c>
      <c r="BD17">
        <v>2082.8609999999999</v>
      </c>
      <c r="BE17">
        <v>745.8605</v>
      </c>
      <c r="BG17">
        <v>3604.8609999999999</v>
      </c>
      <c r="BO17">
        <v>1386.8610000000001</v>
      </c>
      <c r="BQ17">
        <v>664.8605</v>
      </c>
      <c r="BV17">
        <v>2207.8609999999999</v>
      </c>
      <c r="CA17">
        <v>62.860509999999998</v>
      </c>
      <c r="CB17">
        <v>1636.8610000000001</v>
      </c>
      <c r="CC17">
        <v>1959.8610000000001</v>
      </c>
      <c r="CD17">
        <v>286.8605</v>
      </c>
      <c r="CE17">
        <v>1659.8610000000001</v>
      </c>
      <c r="CO17">
        <v>4848.8609999999999</v>
      </c>
      <c r="CP17">
        <v>2757.8609999999999</v>
      </c>
      <c r="CQ17">
        <v>1870.8610000000001</v>
      </c>
      <c r="CR17">
        <v>1120.8610000000001</v>
      </c>
      <c r="CS17">
        <v>5485.8609999999999</v>
      </c>
      <c r="CT17">
        <v>214.8605</v>
      </c>
      <c r="CY17">
        <v>1221.8610000000001</v>
      </c>
      <c r="DA17">
        <v>1484.8610000000001</v>
      </c>
      <c r="DE17">
        <v>340.8605</v>
      </c>
      <c r="DF17">
        <v>2364.8609999999999</v>
      </c>
      <c r="DH17">
        <v>2502.8609999999999</v>
      </c>
      <c r="DJ17">
        <v>2508.8609999999999</v>
      </c>
      <c r="DK17">
        <v>476.8605</v>
      </c>
      <c r="DN17">
        <v>3521.8609999999999</v>
      </c>
      <c r="DO17">
        <v>502.8605</v>
      </c>
      <c r="DQ17">
        <v>170.8605</v>
      </c>
      <c r="DR17">
        <v>3149.8609999999999</v>
      </c>
      <c r="DT17">
        <v>811.86050560000001</v>
      </c>
      <c r="DV17">
        <v>1726.8610000000001</v>
      </c>
      <c r="DX17">
        <v>6678.8609999999999</v>
      </c>
      <c r="DZ17">
        <v>875.8605</v>
      </c>
      <c r="EA17">
        <v>8197.8610000000008</v>
      </c>
      <c r="EB17">
        <v>3643.8609999999999</v>
      </c>
      <c r="ED17" s="3">
        <f t="shared" si="1"/>
        <v>0.4375</v>
      </c>
    </row>
    <row r="18" spans="1:134" x14ac:dyDescent="0.25">
      <c r="A18" s="1">
        <v>800</v>
      </c>
      <c r="B18">
        <v>518.96469999999999</v>
      </c>
      <c r="C18">
        <v>181.59</v>
      </c>
      <c r="D18">
        <v>11.706</v>
      </c>
      <c r="E18" s="3">
        <v>0.21875</v>
      </c>
      <c r="F18" t="s">
        <v>418</v>
      </c>
      <c r="G18">
        <v>24.513999999999999</v>
      </c>
      <c r="H18">
        <v>-1</v>
      </c>
      <c r="I18">
        <v>2</v>
      </c>
      <c r="J18">
        <v>48</v>
      </c>
      <c r="K18">
        <v>100</v>
      </c>
      <c r="M18" t="b">
        <v>0</v>
      </c>
      <c r="N18" t="s">
        <v>225</v>
      </c>
      <c r="O18" t="s">
        <v>205</v>
      </c>
      <c r="P18" t="s">
        <v>176</v>
      </c>
      <c r="Q18" t="s">
        <v>177</v>
      </c>
      <c r="R18" t="s">
        <v>178</v>
      </c>
      <c r="S18" t="s">
        <v>300</v>
      </c>
      <c r="T18" t="s">
        <v>137</v>
      </c>
      <c r="U18" t="s">
        <v>228</v>
      </c>
      <c r="V18" t="s">
        <v>137</v>
      </c>
      <c r="W18">
        <v>519</v>
      </c>
      <c r="X18">
        <v>-3.53000000000065E-2</v>
      </c>
      <c r="Y18">
        <v>518.99784901541398</v>
      </c>
      <c r="Z18">
        <v>519</v>
      </c>
      <c r="AA18">
        <v>-2.1509845859100001E-3</v>
      </c>
      <c r="AB18">
        <v>38</v>
      </c>
      <c r="AC18">
        <v>12</v>
      </c>
      <c r="AD18">
        <v>4</v>
      </c>
      <c r="AE18" t="b">
        <v>1</v>
      </c>
      <c r="AF18" t="s">
        <v>142</v>
      </c>
      <c r="AG18" t="s">
        <v>143</v>
      </c>
      <c r="AH18" t="b">
        <v>0</v>
      </c>
      <c r="AI18" t="b">
        <v>1</v>
      </c>
      <c r="AJ18" t="b">
        <v>1</v>
      </c>
      <c r="AK18" t="b">
        <v>1</v>
      </c>
      <c r="AL18" t="s">
        <v>225</v>
      </c>
      <c r="AM18" t="s">
        <v>228</v>
      </c>
      <c r="AN18" t="b">
        <v>0</v>
      </c>
      <c r="AO18">
        <v>800</v>
      </c>
      <c r="AS18">
        <v>251.5718</v>
      </c>
      <c r="AV18">
        <v>884.57180000000005</v>
      </c>
      <c r="AW18">
        <v>688.57180000000005</v>
      </c>
      <c r="AY18">
        <v>224.5718</v>
      </c>
      <c r="BG18">
        <v>920.57180000000005</v>
      </c>
      <c r="BK18">
        <v>104.5718</v>
      </c>
      <c r="BV18">
        <v>786.57180000000005</v>
      </c>
      <c r="CC18">
        <v>747.57180000000005</v>
      </c>
      <c r="CN18">
        <v>122.5718</v>
      </c>
      <c r="CP18">
        <v>625.57180000000005</v>
      </c>
      <c r="CQ18">
        <v>578.57180000000005</v>
      </c>
      <c r="CR18">
        <v>967.57180000000005</v>
      </c>
      <c r="CS18">
        <v>1600.5719999999999</v>
      </c>
      <c r="CT18">
        <v>677.57180000000005</v>
      </c>
      <c r="CY18">
        <v>391.5718</v>
      </c>
      <c r="DA18">
        <v>949.57180000000005</v>
      </c>
      <c r="DB18">
        <v>177.5718</v>
      </c>
      <c r="DF18">
        <v>588.57180000000005</v>
      </c>
      <c r="DH18">
        <v>1126.5719999999999</v>
      </c>
      <c r="DL18">
        <v>295.5718</v>
      </c>
      <c r="DT18">
        <v>316.57180779999999</v>
      </c>
      <c r="ED18" s="3">
        <f t="shared" si="1"/>
        <v>0.21875</v>
      </c>
    </row>
    <row r="19" spans="1:134" x14ac:dyDescent="0.25">
      <c r="A19" s="1">
        <v>1593</v>
      </c>
      <c r="B19">
        <v>518.96410000000003</v>
      </c>
      <c r="C19">
        <v>165.49</v>
      </c>
      <c r="D19">
        <v>11.722</v>
      </c>
      <c r="E19" s="3">
        <v>0.19791666666666666</v>
      </c>
      <c r="F19" t="s">
        <v>418</v>
      </c>
      <c r="G19">
        <v>22.335000000000001</v>
      </c>
      <c r="H19">
        <v>-1</v>
      </c>
      <c r="I19">
        <v>2</v>
      </c>
      <c r="J19">
        <v>32</v>
      </c>
      <c r="K19">
        <v>100</v>
      </c>
      <c r="M19" t="b">
        <v>0</v>
      </c>
      <c r="N19" t="s">
        <v>225</v>
      </c>
      <c r="O19" t="s">
        <v>301</v>
      </c>
      <c r="P19" t="s">
        <v>176</v>
      </c>
      <c r="Q19" t="s">
        <v>177</v>
      </c>
      <c r="R19" t="s">
        <v>178</v>
      </c>
      <c r="S19" t="s">
        <v>300</v>
      </c>
      <c r="T19" t="s">
        <v>137</v>
      </c>
      <c r="U19" t="s">
        <v>228</v>
      </c>
      <c r="V19" t="s">
        <v>137</v>
      </c>
      <c r="W19">
        <v>519</v>
      </c>
      <c r="X19">
        <v>-3.5899999999969602E-2</v>
      </c>
      <c r="Y19">
        <v>518.99724897708904</v>
      </c>
      <c r="Z19">
        <v>519</v>
      </c>
      <c r="AA19">
        <v>-2.7510229110703E-3</v>
      </c>
      <c r="AB19">
        <v>34</v>
      </c>
      <c r="AC19">
        <v>13</v>
      </c>
      <c r="AD19">
        <v>4</v>
      </c>
      <c r="AE19" t="b">
        <v>1</v>
      </c>
      <c r="AF19" t="s">
        <v>142</v>
      </c>
      <c r="AG19" t="s">
        <v>165</v>
      </c>
      <c r="AH19" t="b">
        <v>0</v>
      </c>
      <c r="AI19" t="b">
        <v>1</v>
      </c>
      <c r="AJ19" t="b">
        <v>1</v>
      </c>
      <c r="AK19" t="b">
        <v>1</v>
      </c>
      <c r="AL19" t="s">
        <v>225</v>
      </c>
      <c r="AM19" t="s">
        <v>228</v>
      </c>
      <c r="AN19" t="b">
        <v>0</v>
      </c>
      <c r="AO19">
        <v>1593</v>
      </c>
      <c r="BH19">
        <v>184.2423</v>
      </c>
      <c r="BJ19">
        <v>17.2423097</v>
      </c>
      <c r="BQ19">
        <v>504.2423</v>
      </c>
      <c r="BT19">
        <v>107.2423</v>
      </c>
      <c r="BU19">
        <v>175.2423</v>
      </c>
      <c r="CA19">
        <v>547.2423</v>
      </c>
      <c r="CB19">
        <v>742.2423</v>
      </c>
      <c r="CE19">
        <v>222.2423</v>
      </c>
      <c r="CG19">
        <v>152.2423</v>
      </c>
      <c r="CO19">
        <v>687.2423</v>
      </c>
      <c r="CU19">
        <v>178.2423</v>
      </c>
      <c r="CX19">
        <v>26.24231</v>
      </c>
      <c r="DC19">
        <v>129.2423</v>
      </c>
      <c r="DE19">
        <v>167.2423</v>
      </c>
      <c r="DK19">
        <v>314.2423</v>
      </c>
      <c r="DO19">
        <v>577.2423</v>
      </c>
      <c r="DQ19">
        <v>342.2423</v>
      </c>
      <c r="DU19">
        <v>350.2423</v>
      </c>
      <c r="EC19">
        <v>90.242310000000003</v>
      </c>
      <c r="ED19" s="3">
        <f t="shared" si="1"/>
        <v>0.19791666666666666</v>
      </c>
    </row>
    <row r="20" spans="1:134" x14ac:dyDescent="0.25">
      <c r="A20" s="1">
        <v>5849</v>
      </c>
      <c r="B20">
        <v>718.95240000000001</v>
      </c>
      <c r="C20">
        <v>218.55</v>
      </c>
      <c r="D20">
        <v>13.779</v>
      </c>
      <c r="E20" s="3">
        <v>0.16666666666666666</v>
      </c>
      <c r="F20" t="s">
        <v>419</v>
      </c>
      <c r="G20">
        <v>29.716000000000001</v>
      </c>
      <c r="H20">
        <v>-1</v>
      </c>
      <c r="I20">
        <v>1</v>
      </c>
      <c r="J20">
        <v>18</v>
      </c>
      <c r="K20">
        <v>92.1</v>
      </c>
      <c r="M20" t="b">
        <v>0</v>
      </c>
      <c r="N20" t="s">
        <v>225</v>
      </c>
      <c r="O20" t="s">
        <v>319</v>
      </c>
      <c r="S20" t="s">
        <v>240</v>
      </c>
      <c r="U20" t="s">
        <v>228</v>
      </c>
      <c r="V20" t="s">
        <v>137</v>
      </c>
      <c r="W20">
        <v>719</v>
      </c>
      <c r="X20">
        <v>-4.7599999999988499E-2</v>
      </c>
      <c r="Y20">
        <v>718.99832328570596</v>
      </c>
      <c r="Z20">
        <v>719</v>
      </c>
      <c r="AA20">
        <v>-1.6767142936942E-3</v>
      </c>
      <c r="AB20">
        <v>35</v>
      </c>
      <c r="AC20">
        <v>3</v>
      </c>
      <c r="AD20">
        <v>3</v>
      </c>
      <c r="AE20" t="b">
        <v>1</v>
      </c>
      <c r="AF20" t="s">
        <v>142</v>
      </c>
      <c r="AG20" t="s">
        <v>143</v>
      </c>
      <c r="AH20" t="b">
        <v>0</v>
      </c>
      <c r="AI20" t="b">
        <v>1</v>
      </c>
      <c r="AJ20" t="b">
        <v>1</v>
      </c>
      <c r="AK20" t="b">
        <v>0</v>
      </c>
      <c r="AL20" t="s">
        <v>225</v>
      </c>
      <c r="AM20" t="s">
        <v>228</v>
      </c>
      <c r="AN20" t="b">
        <v>0</v>
      </c>
      <c r="AO20">
        <v>5849</v>
      </c>
      <c r="AX20">
        <v>66.987780000000001</v>
      </c>
      <c r="BC20">
        <v>194.98779999999999</v>
      </c>
      <c r="BG20">
        <v>97.987780000000001</v>
      </c>
      <c r="BK20">
        <v>88.987780000000001</v>
      </c>
      <c r="BU20">
        <v>50.987780000000001</v>
      </c>
      <c r="CE20">
        <v>17.987780000000001</v>
      </c>
      <c r="CG20">
        <v>32.987780000000001</v>
      </c>
      <c r="CI20">
        <v>80.987783899999997</v>
      </c>
      <c r="CO20">
        <v>184.98779999999999</v>
      </c>
      <c r="CR20">
        <v>117.98779999999999</v>
      </c>
      <c r="CS20">
        <v>178.98779999999999</v>
      </c>
      <c r="DA20">
        <v>51.987780000000001</v>
      </c>
      <c r="DC20">
        <v>12.987780000000001</v>
      </c>
      <c r="DF20">
        <v>8.9877839999999996</v>
      </c>
      <c r="DK20">
        <v>85.987780000000001</v>
      </c>
      <c r="DM20">
        <v>31.987780000000001</v>
      </c>
      <c r="ED20" s="3">
        <f t="shared" si="1"/>
        <v>0.16666666666666666</v>
      </c>
    </row>
    <row r="21" spans="1:134" x14ac:dyDescent="0.25">
      <c r="A21" s="1">
        <v>656</v>
      </c>
      <c r="B21">
        <v>418.9717</v>
      </c>
      <c r="C21">
        <v>165.57</v>
      </c>
      <c r="D21">
        <v>10.439</v>
      </c>
      <c r="E21" s="3">
        <v>0.13541666666666666</v>
      </c>
      <c r="F21" t="s">
        <v>420</v>
      </c>
      <c r="G21">
        <v>22.218</v>
      </c>
      <c r="H21">
        <v>-1</v>
      </c>
      <c r="I21">
        <v>1</v>
      </c>
      <c r="J21">
        <v>101</v>
      </c>
      <c r="K21">
        <v>99.5</v>
      </c>
      <c r="M21" t="b">
        <v>0</v>
      </c>
      <c r="N21" t="s">
        <v>225</v>
      </c>
      <c r="O21" t="s">
        <v>160</v>
      </c>
      <c r="P21" t="s">
        <v>169</v>
      </c>
      <c r="Q21" t="s">
        <v>170</v>
      </c>
      <c r="R21" t="s">
        <v>171</v>
      </c>
      <c r="S21" t="s">
        <v>308</v>
      </c>
      <c r="T21" t="s">
        <v>137</v>
      </c>
      <c r="U21" t="s">
        <v>228</v>
      </c>
      <c r="V21" t="s">
        <v>137</v>
      </c>
      <c r="W21">
        <v>419</v>
      </c>
      <c r="X21">
        <v>-2.8300000000001501E-2</v>
      </c>
      <c r="Y21">
        <v>418.99846193456199</v>
      </c>
      <c r="Z21">
        <v>419</v>
      </c>
      <c r="AA21">
        <v>-1.5380654380692E-3</v>
      </c>
      <c r="AB21">
        <v>37</v>
      </c>
      <c r="AC21">
        <v>17</v>
      </c>
      <c r="AD21">
        <v>4</v>
      </c>
      <c r="AE21" t="b">
        <v>1</v>
      </c>
      <c r="AF21" t="s">
        <v>142</v>
      </c>
      <c r="AG21" t="s">
        <v>143</v>
      </c>
      <c r="AH21" t="b">
        <v>0</v>
      </c>
      <c r="AI21" t="b">
        <v>1</v>
      </c>
      <c r="AJ21" t="b">
        <v>1</v>
      </c>
      <c r="AK21" t="b">
        <v>1</v>
      </c>
      <c r="AL21" t="s">
        <v>225</v>
      </c>
      <c r="AM21" t="s">
        <v>228</v>
      </c>
      <c r="AN21" t="b">
        <v>0</v>
      </c>
      <c r="AO21">
        <v>656</v>
      </c>
      <c r="AQ21">
        <v>268.58280000000002</v>
      </c>
      <c r="AU21">
        <v>189.58279999999999</v>
      </c>
      <c r="BC21">
        <v>112.58280000000001</v>
      </c>
      <c r="BV21">
        <v>63.582830000000001</v>
      </c>
      <c r="CG21">
        <v>76.582830000000001</v>
      </c>
      <c r="CJ21">
        <v>0.58283419999999997</v>
      </c>
      <c r="CP21">
        <v>4.5828340000000001</v>
      </c>
      <c r="CQ21">
        <v>10.58283</v>
      </c>
      <c r="DN21">
        <v>47.582830000000001</v>
      </c>
      <c r="DT21">
        <v>269.58283419999998</v>
      </c>
      <c r="DZ21">
        <v>55.582830000000001</v>
      </c>
      <c r="EA21">
        <v>201.58279999999999</v>
      </c>
      <c r="EB21">
        <v>196.58279999999999</v>
      </c>
      <c r="ED21" s="3">
        <f t="shared" si="1"/>
        <v>0.13541666666666666</v>
      </c>
    </row>
    <row r="22" spans="1:134" x14ac:dyDescent="0.25">
      <c r="A22" s="1">
        <v>8428</v>
      </c>
      <c r="B22">
        <v>768.94830000000002</v>
      </c>
      <c r="C22">
        <v>227.25</v>
      </c>
      <c r="D22">
        <v>14.117000000000001</v>
      </c>
      <c r="E22" s="3">
        <v>0.11458333333333333</v>
      </c>
      <c r="F22" t="s">
        <v>421</v>
      </c>
      <c r="G22">
        <v>30.925000000000001</v>
      </c>
      <c r="H22">
        <v>-1</v>
      </c>
      <c r="I22">
        <v>1</v>
      </c>
      <c r="J22">
        <v>11</v>
      </c>
      <c r="K22">
        <v>71.8</v>
      </c>
      <c r="M22" t="b">
        <v>0</v>
      </c>
      <c r="N22" t="s">
        <v>225</v>
      </c>
      <c r="O22" t="s">
        <v>198</v>
      </c>
      <c r="P22" t="s">
        <v>325</v>
      </c>
      <c r="Q22" t="s">
        <v>326</v>
      </c>
      <c r="R22" t="s">
        <v>327</v>
      </c>
      <c r="S22" t="s">
        <v>328</v>
      </c>
      <c r="T22" t="s">
        <v>137</v>
      </c>
      <c r="U22" t="s">
        <v>228</v>
      </c>
      <c r="V22" t="s">
        <v>137</v>
      </c>
      <c r="W22">
        <v>769</v>
      </c>
      <c r="X22">
        <v>-5.1699999999982503E-2</v>
      </c>
      <c r="Y22">
        <v>768.99741678780697</v>
      </c>
      <c r="Z22">
        <v>769</v>
      </c>
      <c r="AA22">
        <v>-2.5832121928032999E-3</v>
      </c>
      <c r="AB22">
        <v>37</v>
      </c>
      <c r="AC22">
        <v>20</v>
      </c>
      <c r="AD22">
        <v>8</v>
      </c>
      <c r="AE22" t="b">
        <v>1</v>
      </c>
      <c r="AF22" t="s">
        <v>142</v>
      </c>
      <c r="AG22" t="s">
        <v>143</v>
      </c>
      <c r="AH22" t="b">
        <v>0</v>
      </c>
      <c r="AI22" t="b">
        <v>1</v>
      </c>
      <c r="AJ22" t="b">
        <v>1</v>
      </c>
      <c r="AK22" t="b">
        <v>1</v>
      </c>
      <c r="AL22" t="s">
        <v>225</v>
      </c>
      <c r="AM22" t="s">
        <v>228</v>
      </c>
      <c r="AN22" t="b">
        <v>0</v>
      </c>
      <c r="AO22">
        <v>8428</v>
      </c>
      <c r="BC22">
        <v>119.999</v>
      </c>
      <c r="BE22">
        <v>50.999000000000002</v>
      </c>
      <c r="BQ22">
        <v>53.999000000000002</v>
      </c>
      <c r="BS22">
        <v>65.998999999999995</v>
      </c>
      <c r="BW22">
        <v>80.998999999999995</v>
      </c>
      <c r="CA22">
        <v>104.999</v>
      </c>
      <c r="CF22">
        <v>72.998999999999995</v>
      </c>
      <c r="CO22">
        <v>55.999000000000002</v>
      </c>
      <c r="CS22">
        <v>161.999</v>
      </c>
      <c r="EA22">
        <v>111.999</v>
      </c>
      <c r="EB22">
        <v>70.998999999999995</v>
      </c>
      <c r="ED22" s="3">
        <f t="shared" si="1"/>
        <v>0.11458333333333333</v>
      </c>
    </row>
    <row r="23" spans="1:134" x14ac:dyDescent="0.25">
      <c r="A23" s="1">
        <v>372</v>
      </c>
      <c r="B23">
        <v>518.96410000000003</v>
      </c>
      <c r="C23">
        <v>183.28</v>
      </c>
      <c r="D23">
        <v>11.882999999999999</v>
      </c>
      <c r="E23" s="3">
        <v>9.375E-2</v>
      </c>
      <c r="F23" t="s">
        <v>418</v>
      </c>
      <c r="G23">
        <v>24.745000000000001</v>
      </c>
      <c r="H23">
        <v>-1</v>
      </c>
      <c r="I23">
        <v>2</v>
      </c>
      <c r="J23">
        <v>74</v>
      </c>
      <c r="K23">
        <v>100</v>
      </c>
      <c r="M23" t="b">
        <v>0</v>
      </c>
      <c r="N23" t="s">
        <v>225</v>
      </c>
      <c r="O23" t="s">
        <v>192</v>
      </c>
      <c r="P23" t="s">
        <v>176</v>
      </c>
      <c r="Q23" t="s">
        <v>177</v>
      </c>
      <c r="R23" t="s">
        <v>178</v>
      </c>
      <c r="S23" t="s">
        <v>300</v>
      </c>
      <c r="T23" t="s">
        <v>137</v>
      </c>
      <c r="U23" t="s">
        <v>228</v>
      </c>
      <c r="V23" t="s">
        <v>137</v>
      </c>
      <c r="W23">
        <v>519</v>
      </c>
      <c r="X23">
        <v>-3.5899999999969602E-2</v>
      </c>
      <c r="Y23">
        <v>518.99724897708904</v>
      </c>
      <c r="Z23">
        <v>519</v>
      </c>
      <c r="AA23">
        <v>-2.7510229110703E-3</v>
      </c>
      <c r="AB23">
        <v>34</v>
      </c>
      <c r="AC23">
        <v>9</v>
      </c>
      <c r="AD23">
        <v>5</v>
      </c>
      <c r="AE23" t="b">
        <v>1</v>
      </c>
      <c r="AF23" t="s">
        <v>142</v>
      </c>
      <c r="AG23" t="s">
        <v>165</v>
      </c>
      <c r="AH23" t="b">
        <v>0</v>
      </c>
      <c r="AI23" t="b">
        <v>1</v>
      </c>
      <c r="AJ23" t="b">
        <v>1</v>
      </c>
      <c r="AK23" t="b">
        <v>1</v>
      </c>
      <c r="AL23" t="s">
        <v>225</v>
      </c>
      <c r="AM23" t="s">
        <v>228</v>
      </c>
      <c r="AN23" t="b">
        <v>0</v>
      </c>
      <c r="AO23">
        <v>372</v>
      </c>
      <c r="AU23">
        <v>427.1848</v>
      </c>
      <c r="BA23">
        <v>114.1848</v>
      </c>
      <c r="BF23">
        <v>129.1848</v>
      </c>
      <c r="CM23">
        <v>125.1848</v>
      </c>
      <c r="DJ23">
        <v>452.1848</v>
      </c>
      <c r="DN23">
        <v>371.1848</v>
      </c>
      <c r="DR23">
        <v>108.1848</v>
      </c>
      <c r="DZ23">
        <v>120.1848</v>
      </c>
      <c r="EB23">
        <v>383.1848</v>
      </c>
      <c r="ED23" s="3">
        <f t="shared" si="1"/>
        <v>9.375E-2</v>
      </c>
    </row>
    <row r="24" spans="1:134" x14ac:dyDescent="0.25">
      <c r="A24" s="1">
        <v>2857</v>
      </c>
      <c r="B24">
        <v>564.91869999999994</v>
      </c>
      <c r="C24">
        <v>181.89</v>
      </c>
      <c r="D24">
        <v>11.356</v>
      </c>
      <c r="E24" s="3">
        <v>4.1666666666666664E-2</v>
      </c>
      <c r="F24" t="s">
        <v>422</v>
      </c>
      <c r="G24">
        <v>24.603000000000002</v>
      </c>
      <c r="H24">
        <v>-1</v>
      </c>
      <c r="I24">
        <v>1</v>
      </c>
      <c r="J24">
        <v>29</v>
      </c>
      <c r="K24">
        <v>99.3</v>
      </c>
      <c r="M24" t="b">
        <v>0</v>
      </c>
      <c r="N24" t="s">
        <v>237</v>
      </c>
      <c r="O24" t="s">
        <v>192</v>
      </c>
      <c r="S24" t="s">
        <v>240</v>
      </c>
      <c r="U24" t="s">
        <v>239</v>
      </c>
      <c r="V24" t="s">
        <v>137</v>
      </c>
      <c r="W24">
        <v>565</v>
      </c>
      <c r="X24">
        <v>-8.1300000000055703E-2</v>
      </c>
      <c r="Y24">
        <v>564.954784340022</v>
      </c>
      <c r="Z24">
        <v>565</v>
      </c>
      <c r="AA24">
        <v>-4.5215659978452998E-2</v>
      </c>
      <c r="AB24">
        <v>34</v>
      </c>
      <c r="AC24">
        <v>9</v>
      </c>
      <c r="AD24">
        <v>3</v>
      </c>
      <c r="AE24" t="b">
        <v>1</v>
      </c>
      <c r="AF24" t="s">
        <v>142</v>
      </c>
      <c r="AG24" t="s">
        <v>143</v>
      </c>
      <c r="AH24" t="b">
        <v>0</v>
      </c>
      <c r="AI24" t="b">
        <v>1</v>
      </c>
      <c r="AJ24" t="b">
        <v>1</v>
      </c>
      <c r="AK24" t="b">
        <v>0</v>
      </c>
      <c r="AL24" t="s">
        <v>237</v>
      </c>
      <c r="AM24" t="s">
        <v>239</v>
      </c>
      <c r="AN24" t="b">
        <v>0</v>
      </c>
      <c r="AO24">
        <v>2857</v>
      </c>
      <c r="AS24">
        <v>126.2032</v>
      </c>
      <c r="BG24">
        <v>220.20320000000001</v>
      </c>
      <c r="BV24">
        <v>127.2032</v>
      </c>
      <c r="CC24">
        <v>314.20319999999998</v>
      </c>
      <c r="ED24" s="3">
        <f t="shared" si="1"/>
        <v>4.1666666666666664E-2</v>
      </c>
    </row>
    <row r="25" spans="1:134" x14ac:dyDescent="0.25">
      <c r="A25" s="1">
        <v>3511</v>
      </c>
      <c r="B25">
        <v>207.04220000000001</v>
      </c>
      <c r="C25">
        <v>145.44</v>
      </c>
      <c r="D25">
        <v>3.4550000000000001</v>
      </c>
      <c r="E25" s="3">
        <v>2.0833333333333332E-2</v>
      </c>
      <c r="F25" t="s">
        <v>408</v>
      </c>
      <c r="G25">
        <v>18.914999999999999</v>
      </c>
      <c r="H25">
        <v>-1</v>
      </c>
      <c r="I25">
        <v>1</v>
      </c>
      <c r="J25">
        <v>23</v>
      </c>
      <c r="K25">
        <v>99.7</v>
      </c>
      <c r="M25" t="b">
        <v>0</v>
      </c>
      <c r="N25" t="s">
        <v>237</v>
      </c>
      <c r="O25" t="s">
        <v>193</v>
      </c>
      <c r="S25" t="s">
        <v>240</v>
      </c>
      <c r="U25" t="s">
        <v>239</v>
      </c>
      <c r="V25" t="s">
        <v>137</v>
      </c>
      <c r="W25">
        <v>207</v>
      </c>
      <c r="X25">
        <v>4.2200000000008203E-2</v>
      </c>
      <c r="Y25">
        <v>207.05542487845401</v>
      </c>
      <c r="Z25">
        <v>207</v>
      </c>
      <c r="AA25">
        <v>5.54248784535218E-2</v>
      </c>
      <c r="AB25">
        <v>41</v>
      </c>
      <c r="AC25">
        <v>19</v>
      </c>
      <c r="AD25">
        <v>3</v>
      </c>
      <c r="AE25" t="b">
        <v>1</v>
      </c>
      <c r="AF25" t="s">
        <v>142</v>
      </c>
      <c r="AG25" t="s">
        <v>143</v>
      </c>
      <c r="AH25" t="b">
        <v>0</v>
      </c>
      <c r="AI25" t="b">
        <v>1</v>
      </c>
      <c r="AJ25" t="b">
        <v>1</v>
      </c>
      <c r="AK25" t="b">
        <v>0</v>
      </c>
      <c r="AL25" t="s">
        <v>237</v>
      </c>
      <c r="AM25" t="s">
        <v>239</v>
      </c>
      <c r="AN25" t="b">
        <v>0</v>
      </c>
      <c r="AO25">
        <v>3511</v>
      </c>
      <c r="AP25">
        <v>175.30510000000001</v>
      </c>
      <c r="BG25">
        <v>58.305120000000002</v>
      </c>
      <c r="ED25" s="3">
        <f t="shared" si="1"/>
        <v>2.0833333333333332E-2</v>
      </c>
    </row>
    <row r="26" spans="1:134" x14ac:dyDescent="0.25">
      <c r="A26" s="1">
        <v>1159</v>
      </c>
      <c r="B26">
        <v>229.0549</v>
      </c>
      <c r="C26">
        <v>151.66999999999999</v>
      </c>
      <c r="D26">
        <v>5.9269999999999996</v>
      </c>
      <c r="E26" s="3">
        <v>2.0833333333333332E-2</v>
      </c>
      <c r="F26" t="s">
        <v>408</v>
      </c>
      <c r="G26">
        <v>19.841999999999999</v>
      </c>
      <c r="H26">
        <v>-1</v>
      </c>
      <c r="I26">
        <v>3</v>
      </c>
      <c r="J26">
        <v>14</v>
      </c>
      <c r="K26">
        <v>100</v>
      </c>
      <c r="M26" t="b">
        <v>0</v>
      </c>
      <c r="N26" t="s">
        <v>237</v>
      </c>
      <c r="O26" t="s">
        <v>205</v>
      </c>
      <c r="S26" t="s">
        <v>240</v>
      </c>
      <c r="U26" t="s">
        <v>239</v>
      </c>
      <c r="V26" t="s">
        <v>137</v>
      </c>
      <c r="W26">
        <v>229</v>
      </c>
      <c r="X26">
        <v>5.4900000000003502E-2</v>
      </c>
      <c r="Y26">
        <v>229.06953094582499</v>
      </c>
      <c r="Z26">
        <v>229</v>
      </c>
      <c r="AA26">
        <v>6.9530945824965301E-2</v>
      </c>
      <c r="AB26">
        <v>39</v>
      </c>
      <c r="AC26">
        <v>12</v>
      </c>
      <c r="AD26">
        <v>3</v>
      </c>
      <c r="AE26" t="b">
        <v>1</v>
      </c>
      <c r="AF26" t="s">
        <v>142</v>
      </c>
      <c r="AG26" t="s">
        <v>165</v>
      </c>
      <c r="AH26" t="b">
        <v>0</v>
      </c>
      <c r="AI26" t="b">
        <v>1</v>
      </c>
      <c r="AJ26" t="b">
        <v>1</v>
      </c>
      <c r="AK26" t="b">
        <v>0</v>
      </c>
      <c r="AL26" t="s">
        <v>237</v>
      </c>
      <c r="AM26" t="s">
        <v>239</v>
      </c>
      <c r="AN26" t="b">
        <v>0</v>
      </c>
      <c r="AO26">
        <v>1159</v>
      </c>
      <c r="BL26">
        <v>453.99900000000002</v>
      </c>
      <c r="CF26">
        <v>3816.9989999999998</v>
      </c>
      <c r="ED26" s="3">
        <f t="shared" si="1"/>
        <v>2.0833333333333332E-2</v>
      </c>
    </row>
    <row r="27" spans="1:134" x14ac:dyDescent="0.25">
      <c r="A27" s="1">
        <v>278</v>
      </c>
      <c r="B27">
        <v>589.01390000000004</v>
      </c>
      <c r="C27">
        <v>219.96</v>
      </c>
      <c r="D27">
        <v>11.891999999999999</v>
      </c>
      <c r="E27" s="3">
        <v>2.0833333333333332E-2</v>
      </c>
      <c r="F27" t="s">
        <v>423</v>
      </c>
      <c r="G27">
        <v>29.786999999999999</v>
      </c>
      <c r="H27">
        <v>-1</v>
      </c>
      <c r="I27">
        <v>3</v>
      </c>
      <c r="J27">
        <v>107</v>
      </c>
      <c r="K27">
        <v>100</v>
      </c>
      <c r="M27" t="b">
        <v>0</v>
      </c>
      <c r="N27" t="s">
        <v>237</v>
      </c>
      <c r="O27" t="s">
        <v>264</v>
      </c>
      <c r="S27" t="s">
        <v>240</v>
      </c>
      <c r="U27" t="s">
        <v>239</v>
      </c>
      <c r="V27" t="s">
        <v>137</v>
      </c>
      <c r="W27">
        <v>589</v>
      </c>
      <c r="X27">
        <v>1.39000000000351E-2</v>
      </c>
      <c r="Y27">
        <v>589.05152342766303</v>
      </c>
      <c r="Z27">
        <v>589</v>
      </c>
      <c r="AA27">
        <v>5.1523427663255503E-2</v>
      </c>
      <c r="AB27">
        <v>43</v>
      </c>
      <c r="AC27">
        <v>26</v>
      </c>
      <c r="AD27">
        <v>3</v>
      </c>
      <c r="AE27" t="b">
        <v>1</v>
      </c>
      <c r="AF27" t="s">
        <v>212</v>
      </c>
      <c r="AG27" t="s">
        <v>143</v>
      </c>
      <c r="AH27" t="b">
        <v>0</v>
      </c>
      <c r="AI27" t="b">
        <v>1</v>
      </c>
      <c r="AJ27" t="b">
        <v>1</v>
      </c>
      <c r="AK27" t="b">
        <v>0</v>
      </c>
      <c r="AL27" t="s">
        <v>237</v>
      </c>
      <c r="AM27" t="s">
        <v>239</v>
      </c>
      <c r="AN27" t="b">
        <v>0</v>
      </c>
      <c r="AO27">
        <v>278</v>
      </c>
      <c r="BO27">
        <v>967.61019999999996</v>
      </c>
      <c r="CS27">
        <v>98.610159999999993</v>
      </c>
      <c r="ED27" s="3">
        <f t="shared" si="1"/>
        <v>2.0833333333333332E-2</v>
      </c>
    </row>
    <row r="28" spans="1:134" x14ac:dyDescent="0.25">
      <c r="A28" s="1">
        <v>442</v>
      </c>
      <c r="B28">
        <v>618.95929999999998</v>
      </c>
      <c r="C28">
        <v>201.05</v>
      </c>
      <c r="D28">
        <v>12.964</v>
      </c>
      <c r="E28" s="3">
        <v>2.0833333333333332E-2</v>
      </c>
      <c r="F28" t="s">
        <v>424</v>
      </c>
      <c r="G28">
        <v>27.257000000000001</v>
      </c>
      <c r="H28">
        <v>-1</v>
      </c>
      <c r="I28">
        <v>2</v>
      </c>
      <c r="J28">
        <v>103</v>
      </c>
      <c r="K28">
        <v>100</v>
      </c>
      <c r="M28" t="b">
        <v>0</v>
      </c>
      <c r="N28" t="s">
        <v>225</v>
      </c>
      <c r="O28" t="s">
        <v>198</v>
      </c>
      <c r="P28" t="s">
        <v>199</v>
      </c>
      <c r="Q28" t="s">
        <v>195</v>
      </c>
      <c r="R28" t="s">
        <v>196</v>
      </c>
      <c r="S28" t="s">
        <v>306</v>
      </c>
      <c r="T28" t="s">
        <v>137</v>
      </c>
      <c r="U28" t="s">
        <v>228</v>
      </c>
      <c r="V28" t="s">
        <v>137</v>
      </c>
      <c r="W28">
        <v>619</v>
      </c>
      <c r="X28">
        <v>-4.07000000000153E-2</v>
      </c>
      <c r="Y28">
        <v>618.99883619846696</v>
      </c>
      <c r="Z28">
        <v>619</v>
      </c>
      <c r="AA28">
        <v>-1.1638015333801E-3</v>
      </c>
      <c r="AB28">
        <v>37</v>
      </c>
      <c r="AC28">
        <v>20</v>
      </c>
      <c r="AD28">
        <v>8</v>
      </c>
      <c r="AE28" t="b">
        <v>1</v>
      </c>
      <c r="AF28" t="s">
        <v>142</v>
      </c>
      <c r="AG28" t="s">
        <v>143</v>
      </c>
      <c r="AH28" t="b">
        <v>0</v>
      </c>
      <c r="AI28" t="b">
        <v>1</v>
      </c>
      <c r="AJ28" t="b">
        <v>1</v>
      </c>
      <c r="AK28" t="b">
        <v>1</v>
      </c>
      <c r="AL28" t="s">
        <v>225</v>
      </c>
      <c r="AM28" t="s">
        <v>228</v>
      </c>
      <c r="AN28" t="b">
        <v>0</v>
      </c>
      <c r="AO28">
        <v>442</v>
      </c>
      <c r="BC28">
        <v>774.61779999999999</v>
      </c>
      <c r="CS28">
        <v>1465.6179999999999</v>
      </c>
      <c r="ED28" s="3">
        <f t="shared" si="1"/>
        <v>2.0833333333333332E-2</v>
      </c>
    </row>
    <row r="29" spans="1:134" x14ac:dyDescent="0.25">
      <c r="A29" s="1">
        <v>331</v>
      </c>
      <c r="B29">
        <v>323.08960000000002</v>
      </c>
      <c r="C29">
        <v>169.39</v>
      </c>
      <c r="D29">
        <v>3.4620000000000002</v>
      </c>
      <c r="E29" s="3">
        <v>1.0416666666666666E-2</v>
      </c>
      <c r="F29" t="s">
        <v>408</v>
      </c>
      <c r="G29">
        <v>22.521999999999998</v>
      </c>
      <c r="H29">
        <v>-1</v>
      </c>
      <c r="I29">
        <v>2</v>
      </c>
      <c r="J29">
        <v>106</v>
      </c>
      <c r="K29">
        <v>100</v>
      </c>
      <c r="M29" t="b">
        <v>0</v>
      </c>
      <c r="N29" t="s">
        <v>237</v>
      </c>
      <c r="O29" t="s">
        <v>299</v>
      </c>
      <c r="S29" t="s">
        <v>240</v>
      </c>
      <c r="U29" t="s">
        <v>239</v>
      </c>
      <c r="V29" t="s">
        <v>137</v>
      </c>
      <c r="W29">
        <v>323</v>
      </c>
      <c r="X29">
        <v>8.9600000000018595E-2</v>
      </c>
      <c r="Y29">
        <v>323.11023743859698</v>
      </c>
      <c r="Z29">
        <v>323</v>
      </c>
      <c r="AA29">
        <v>0.11023743859749401</v>
      </c>
      <c r="AB29">
        <v>47</v>
      </c>
      <c r="AC29">
        <v>51</v>
      </c>
      <c r="AD29">
        <v>3</v>
      </c>
      <c r="AE29" t="b">
        <v>1</v>
      </c>
      <c r="AF29" t="s">
        <v>212</v>
      </c>
      <c r="AG29" t="s">
        <v>143</v>
      </c>
      <c r="AH29" t="b">
        <v>0</v>
      </c>
      <c r="AI29" t="b">
        <v>1</v>
      </c>
      <c r="AJ29" t="b">
        <v>1</v>
      </c>
      <c r="AK29" t="b">
        <v>0</v>
      </c>
      <c r="AL29" t="s">
        <v>237</v>
      </c>
      <c r="AM29" t="s">
        <v>239</v>
      </c>
      <c r="AN29" t="b">
        <v>0</v>
      </c>
      <c r="AO29">
        <v>331</v>
      </c>
      <c r="DQ29">
        <v>100.923</v>
      </c>
      <c r="ED29" s="3">
        <f t="shared" si="1"/>
        <v>1.0416666666666666E-2</v>
      </c>
    </row>
    <row r="30" spans="1:134" x14ac:dyDescent="0.25">
      <c r="A30" s="1">
        <v>2866</v>
      </c>
      <c r="B30">
        <v>518.96420000000001</v>
      </c>
      <c r="C30">
        <v>207.76</v>
      </c>
      <c r="D30">
        <v>11.891</v>
      </c>
      <c r="E30" s="3">
        <v>1.0416666666666666E-2</v>
      </c>
      <c r="F30" t="s">
        <v>418</v>
      </c>
      <c r="G30">
        <v>28.044</v>
      </c>
      <c r="H30">
        <v>-1</v>
      </c>
      <c r="I30">
        <v>1</v>
      </c>
      <c r="J30">
        <v>34</v>
      </c>
      <c r="K30">
        <v>99</v>
      </c>
      <c r="M30" t="b">
        <v>0</v>
      </c>
      <c r="N30" t="s">
        <v>225</v>
      </c>
      <c r="O30" t="s">
        <v>205</v>
      </c>
      <c r="P30" t="s">
        <v>176</v>
      </c>
      <c r="Q30" t="s">
        <v>177</v>
      </c>
      <c r="R30" t="s">
        <v>178</v>
      </c>
      <c r="S30" t="s">
        <v>300</v>
      </c>
      <c r="T30" t="s">
        <v>137</v>
      </c>
      <c r="U30" t="s">
        <v>228</v>
      </c>
      <c r="V30" t="s">
        <v>137</v>
      </c>
      <c r="W30">
        <v>519</v>
      </c>
      <c r="X30">
        <v>-3.5799999999994697E-2</v>
      </c>
      <c r="Y30">
        <v>518.99734898347594</v>
      </c>
      <c r="Z30">
        <v>519</v>
      </c>
      <c r="AA30">
        <v>-2.6510165236004E-3</v>
      </c>
      <c r="AB30">
        <v>38</v>
      </c>
      <c r="AC30">
        <v>12</v>
      </c>
      <c r="AD30">
        <v>6</v>
      </c>
      <c r="AE30" t="b">
        <v>1</v>
      </c>
      <c r="AF30" t="s">
        <v>142</v>
      </c>
      <c r="AG30" t="s">
        <v>165</v>
      </c>
      <c r="AH30" t="b">
        <v>0</v>
      </c>
      <c r="AI30" t="b">
        <v>1</v>
      </c>
      <c r="AJ30" t="b">
        <v>1</v>
      </c>
      <c r="AK30" t="b">
        <v>1</v>
      </c>
      <c r="AL30" t="s">
        <v>225</v>
      </c>
      <c r="AM30" t="s">
        <v>228</v>
      </c>
      <c r="AN30" t="b">
        <v>0</v>
      </c>
      <c r="AO30">
        <v>2866</v>
      </c>
      <c r="BO30">
        <v>7.524851</v>
      </c>
      <c r="ED30" s="3">
        <f t="shared" si="1"/>
        <v>1.0416666666666666E-2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1BDEB-574B-4C90-BA0D-03F68B6CA355}">
  <dimension ref="A1:K48"/>
  <sheetViews>
    <sheetView zoomScale="80" zoomScaleNormal="80" workbookViewId="0">
      <selection activeCell="B21" sqref="B21"/>
    </sheetView>
  </sheetViews>
  <sheetFormatPr defaultRowHeight="15" x14ac:dyDescent="0.25"/>
  <cols>
    <col min="1" max="1" width="6.28515625" bestFit="1" customWidth="1"/>
    <col min="2" max="2" width="12" bestFit="1" customWidth="1"/>
    <col min="3" max="3" width="7" bestFit="1" customWidth="1"/>
    <col min="4" max="4" width="12.7109375" bestFit="1" customWidth="1"/>
    <col min="5" max="5" width="11.5703125" bestFit="1" customWidth="1"/>
    <col min="6" max="6" width="20" bestFit="1" customWidth="1"/>
    <col min="7" max="7" width="35.140625" bestFit="1" customWidth="1"/>
    <col min="8" max="8" width="31.140625" bestFit="1" customWidth="1"/>
    <col min="9" max="9" width="48" bestFit="1" customWidth="1"/>
  </cols>
  <sheetData>
    <row r="1" spans="1:11" x14ac:dyDescent="0.25">
      <c r="A1" t="s">
        <v>382</v>
      </c>
      <c r="B1" t="s">
        <v>346</v>
      </c>
      <c r="C1" t="s">
        <v>11</v>
      </c>
      <c r="D1" t="s">
        <v>344</v>
      </c>
      <c r="E1" t="s">
        <v>345</v>
      </c>
      <c r="F1" t="s">
        <v>383</v>
      </c>
      <c r="G1" t="s">
        <v>384</v>
      </c>
      <c r="H1" t="s">
        <v>385</v>
      </c>
      <c r="I1" t="s">
        <v>340</v>
      </c>
      <c r="J1" t="s">
        <v>402</v>
      </c>
      <c r="K1" t="s">
        <v>403</v>
      </c>
    </row>
    <row r="2" spans="1:11" x14ac:dyDescent="0.25">
      <c r="A2">
        <v>2288</v>
      </c>
      <c r="B2">
        <v>165.05520000000001</v>
      </c>
      <c r="C2">
        <v>17.388999999999999</v>
      </c>
      <c r="D2">
        <v>136.72999999999999</v>
      </c>
      <c r="E2">
        <v>5.8220000000000001</v>
      </c>
      <c r="F2">
        <v>1645</v>
      </c>
      <c r="G2" t="s">
        <v>386</v>
      </c>
      <c r="H2" t="s">
        <v>387</v>
      </c>
      <c r="J2">
        <f>ROUND(B2,1)</f>
        <v>165.1</v>
      </c>
      <c r="K2" t="e">
        <f>VLOOKUP(J2,$B$20:$H$48,7,FALSE)</f>
        <v>#N/A</v>
      </c>
    </row>
    <row r="3" spans="1:11" x14ac:dyDescent="0.25">
      <c r="A3">
        <v>152</v>
      </c>
      <c r="B3">
        <v>181.01609999999999</v>
      </c>
      <c r="C3">
        <v>16.379000000000001</v>
      </c>
      <c r="D3">
        <v>128.1</v>
      </c>
      <c r="E3">
        <v>3.0259999999999998</v>
      </c>
      <c r="F3" t="s">
        <v>388</v>
      </c>
      <c r="G3" t="s">
        <v>389</v>
      </c>
      <c r="I3" t="s">
        <v>390</v>
      </c>
      <c r="J3">
        <f t="shared" ref="J3:J16" si="0">ROUND(B3,1)</f>
        <v>181</v>
      </c>
      <c r="K3" t="e">
        <f t="shared" ref="K3:K16" si="1">VLOOKUP(J3,$B$20:$H$48,7,FALSE)</f>
        <v>#N/A</v>
      </c>
    </row>
    <row r="4" spans="1:11" x14ac:dyDescent="0.25">
      <c r="A4">
        <v>182</v>
      </c>
      <c r="B4">
        <v>199.0265</v>
      </c>
      <c r="C4">
        <v>17.588999999999999</v>
      </c>
      <c r="D4">
        <v>136.55000000000001</v>
      </c>
      <c r="E4">
        <v>4.0419999999999998</v>
      </c>
      <c r="F4" t="s">
        <v>391</v>
      </c>
      <c r="J4">
        <f t="shared" si="0"/>
        <v>199</v>
      </c>
      <c r="K4" t="e">
        <f t="shared" si="1"/>
        <v>#N/A</v>
      </c>
    </row>
    <row r="5" spans="1:11" x14ac:dyDescent="0.25">
      <c r="A5">
        <v>411</v>
      </c>
      <c r="B5">
        <v>223.0265</v>
      </c>
      <c r="C5">
        <v>19.59</v>
      </c>
      <c r="D5">
        <v>150.81</v>
      </c>
      <c r="E5">
        <v>14.608000000000001</v>
      </c>
      <c r="F5" t="s">
        <v>392</v>
      </c>
      <c r="J5">
        <f t="shared" si="0"/>
        <v>223</v>
      </c>
      <c r="K5" t="e">
        <f t="shared" si="1"/>
        <v>#N/A</v>
      </c>
    </row>
    <row r="6" spans="1:11" x14ac:dyDescent="0.25">
      <c r="A6">
        <v>62</v>
      </c>
      <c r="B6">
        <v>223.0292</v>
      </c>
      <c r="C6">
        <v>19.593</v>
      </c>
      <c r="D6">
        <v>150.84</v>
      </c>
      <c r="E6">
        <v>14.395</v>
      </c>
      <c r="F6" t="s">
        <v>393</v>
      </c>
      <c r="J6">
        <f t="shared" si="0"/>
        <v>223</v>
      </c>
      <c r="K6" t="e">
        <f t="shared" si="1"/>
        <v>#N/A</v>
      </c>
    </row>
    <row r="7" spans="1:11" x14ac:dyDescent="0.25">
      <c r="A7" s="6">
        <v>1957</v>
      </c>
      <c r="B7" s="6">
        <v>244.90799999999999</v>
      </c>
      <c r="C7" s="6">
        <v>17.844000000000001</v>
      </c>
      <c r="D7" s="6">
        <v>136.88999999999999</v>
      </c>
      <c r="E7" s="6">
        <v>6.3849999999999998</v>
      </c>
      <c r="F7" s="6" t="s">
        <v>394</v>
      </c>
      <c r="G7" s="6"/>
      <c r="H7" s="6"/>
      <c r="I7" s="6"/>
      <c r="J7">
        <f t="shared" si="0"/>
        <v>244.9</v>
      </c>
      <c r="K7" t="e">
        <f t="shared" si="1"/>
        <v>#N/A</v>
      </c>
    </row>
    <row r="8" spans="1:11" x14ac:dyDescent="0.25">
      <c r="A8">
        <v>1731</v>
      </c>
      <c r="B8">
        <v>247.04390000000001</v>
      </c>
      <c r="C8">
        <v>19.064</v>
      </c>
      <c r="D8">
        <v>146.03</v>
      </c>
      <c r="E8">
        <v>7.9569999999999999</v>
      </c>
      <c r="F8" t="s">
        <v>395</v>
      </c>
      <c r="J8">
        <f t="shared" si="0"/>
        <v>247</v>
      </c>
      <c r="K8" t="e">
        <f t="shared" si="1"/>
        <v>#N/A</v>
      </c>
    </row>
    <row r="9" spans="1:11" x14ac:dyDescent="0.25">
      <c r="A9">
        <v>818</v>
      </c>
      <c r="B9">
        <v>297.04849999999999</v>
      </c>
      <c r="C9">
        <v>21.765999999999998</v>
      </c>
      <c r="D9">
        <v>164.97</v>
      </c>
      <c r="E9">
        <v>14.667999999999999</v>
      </c>
      <c r="F9" t="s">
        <v>395</v>
      </c>
      <c r="J9">
        <f t="shared" si="0"/>
        <v>297</v>
      </c>
      <c r="K9" t="e">
        <f t="shared" si="1"/>
        <v>#N/A</v>
      </c>
    </row>
    <row r="10" spans="1:11" x14ac:dyDescent="0.25">
      <c r="A10">
        <v>2553</v>
      </c>
      <c r="B10">
        <v>301.14510000000001</v>
      </c>
      <c r="C10">
        <v>19.561</v>
      </c>
      <c r="D10">
        <v>148.38999999999999</v>
      </c>
      <c r="E10">
        <v>9.6820000000000004</v>
      </c>
      <c r="F10" t="s">
        <v>392</v>
      </c>
      <c r="J10">
        <f t="shared" si="0"/>
        <v>301.10000000000002</v>
      </c>
      <c r="K10" t="e">
        <f t="shared" si="1"/>
        <v>#N/A</v>
      </c>
    </row>
    <row r="11" spans="1:11" x14ac:dyDescent="0.25">
      <c r="A11">
        <v>2504</v>
      </c>
      <c r="B11">
        <v>321.02659999999997</v>
      </c>
      <c r="C11">
        <v>22.161999999999999</v>
      </c>
      <c r="D11">
        <v>167.39</v>
      </c>
      <c r="E11">
        <v>4.4909999999999997</v>
      </c>
      <c r="F11">
        <v>2106</v>
      </c>
      <c r="J11">
        <f t="shared" si="0"/>
        <v>321</v>
      </c>
      <c r="K11" t="e">
        <f t="shared" si="1"/>
        <v>#N/A</v>
      </c>
    </row>
    <row r="12" spans="1:11" x14ac:dyDescent="0.25">
      <c r="A12">
        <v>98</v>
      </c>
      <c r="B12">
        <v>329.04739999999998</v>
      </c>
      <c r="C12">
        <v>21.288</v>
      </c>
      <c r="D12">
        <v>160.72</v>
      </c>
      <c r="E12">
        <v>9.9730000000000008</v>
      </c>
      <c r="F12" t="s">
        <v>396</v>
      </c>
      <c r="J12">
        <f t="shared" si="0"/>
        <v>329</v>
      </c>
      <c r="K12" t="e">
        <f t="shared" si="1"/>
        <v>#N/A</v>
      </c>
    </row>
    <row r="13" spans="1:11" x14ac:dyDescent="0.25">
      <c r="A13">
        <v>2710</v>
      </c>
      <c r="B13">
        <v>349.01409999999998</v>
      </c>
      <c r="C13">
        <v>22.837</v>
      </c>
      <c r="D13">
        <v>171.86</v>
      </c>
      <c r="E13">
        <v>4.4539999999999997</v>
      </c>
      <c r="F13" t="s">
        <v>397</v>
      </c>
      <c r="J13">
        <f t="shared" si="0"/>
        <v>349</v>
      </c>
      <c r="K13" t="e">
        <f t="shared" si="1"/>
        <v>#N/A</v>
      </c>
    </row>
    <row r="14" spans="1:11" x14ac:dyDescent="0.25">
      <c r="A14">
        <v>1474</v>
      </c>
      <c r="B14">
        <v>349.01940000000002</v>
      </c>
      <c r="C14">
        <v>22.902999999999999</v>
      </c>
      <c r="D14">
        <v>172.35</v>
      </c>
      <c r="E14">
        <v>4.4550000000000001</v>
      </c>
      <c r="F14" t="s">
        <v>395</v>
      </c>
      <c r="J14">
        <f t="shared" si="0"/>
        <v>349</v>
      </c>
      <c r="K14" t="e">
        <f t="shared" si="1"/>
        <v>#N/A</v>
      </c>
    </row>
    <row r="15" spans="1:11" x14ac:dyDescent="0.25">
      <c r="A15">
        <v>1348</v>
      </c>
      <c r="B15">
        <v>380.07440000000003</v>
      </c>
      <c r="C15">
        <v>24.337</v>
      </c>
      <c r="D15">
        <v>182.44</v>
      </c>
      <c r="E15">
        <v>2.2480000000000002</v>
      </c>
      <c r="F15">
        <v>2298</v>
      </c>
      <c r="J15">
        <f t="shared" si="0"/>
        <v>380.1</v>
      </c>
      <c r="K15" t="e">
        <f t="shared" si="1"/>
        <v>#N/A</v>
      </c>
    </row>
    <row r="16" spans="1:11" x14ac:dyDescent="0.25">
      <c r="A16" s="6">
        <v>2404</v>
      </c>
      <c r="B16" s="6">
        <v>530.99490000000003</v>
      </c>
      <c r="C16" s="6">
        <v>24.085999999999999</v>
      </c>
      <c r="D16" s="6">
        <v>178.82</v>
      </c>
      <c r="E16" s="6">
        <v>11.878</v>
      </c>
      <c r="F16" s="6" t="s">
        <v>396</v>
      </c>
      <c r="G16" s="6"/>
      <c r="H16" s="6"/>
      <c r="I16" s="6" t="s">
        <v>398</v>
      </c>
      <c r="J16">
        <f t="shared" si="0"/>
        <v>531</v>
      </c>
      <c r="K16" t="e">
        <f t="shared" si="1"/>
        <v>#N/A</v>
      </c>
    </row>
    <row r="20" spans="1:8" x14ac:dyDescent="0.25">
      <c r="A20" t="s">
        <v>0</v>
      </c>
      <c r="B20" t="s">
        <v>399</v>
      </c>
      <c r="C20" t="s">
        <v>400</v>
      </c>
      <c r="D20" t="s">
        <v>401</v>
      </c>
      <c r="E20" t="s">
        <v>6</v>
      </c>
      <c r="F20" t="s">
        <v>7</v>
      </c>
      <c r="G20" t="s">
        <v>12</v>
      </c>
      <c r="H20" t="s">
        <v>0</v>
      </c>
    </row>
    <row r="21" spans="1:8" x14ac:dyDescent="0.25">
      <c r="A21">
        <v>469</v>
      </c>
      <c r="B21">
        <v>613</v>
      </c>
      <c r="C21">
        <v>12.5</v>
      </c>
      <c r="D21">
        <v>216</v>
      </c>
      <c r="E21">
        <v>612.9529</v>
      </c>
      <c r="F21">
        <v>12.464</v>
      </c>
      <c r="G21">
        <v>216.09</v>
      </c>
      <c r="H21">
        <v>469</v>
      </c>
    </row>
    <row r="22" spans="1:8" x14ac:dyDescent="0.25">
      <c r="A22">
        <v>608</v>
      </c>
      <c r="B22">
        <v>513</v>
      </c>
      <c r="C22">
        <v>11.2</v>
      </c>
      <c r="D22">
        <v>199</v>
      </c>
      <c r="E22">
        <v>512.9579</v>
      </c>
      <c r="F22">
        <v>11.223000000000001</v>
      </c>
      <c r="G22">
        <v>199.2</v>
      </c>
      <c r="H22">
        <v>608</v>
      </c>
    </row>
    <row r="23" spans="1:8" x14ac:dyDescent="0.25">
      <c r="A23">
        <v>1906</v>
      </c>
      <c r="B23">
        <v>712.9</v>
      </c>
      <c r="C23">
        <v>13.4</v>
      </c>
      <c r="D23">
        <v>233</v>
      </c>
      <c r="E23">
        <v>712.94690000000003</v>
      </c>
      <c r="F23">
        <v>13.398999999999999</v>
      </c>
      <c r="G23">
        <v>232.76</v>
      </c>
      <c r="H23">
        <v>1906</v>
      </c>
    </row>
    <row r="24" spans="1:8" x14ac:dyDescent="0.25">
      <c r="A24">
        <v>2683</v>
      </c>
      <c r="B24">
        <v>563</v>
      </c>
      <c r="C24">
        <v>11.7</v>
      </c>
      <c r="D24">
        <v>206</v>
      </c>
      <c r="E24">
        <v>562.95489999999995</v>
      </c>
      <c r="F24">
        <v>11.718</v>
      </c>
      <c r="G24">
        <v>205.98</v>
      </c>
      <c r="H24">
        <v>2683</v>
      </c>
    </row>
    <row r="25" spans="1:8" x14ac:dyDescent="0.25">
      <c r="A25">
        <v>1692</v>
      </c>
      <c r="B25">
        <v>314.89999999999998</v>
      </c>
      <c r="C25">
        <v>11.2</v>
      </c>
      <c r="D25">
        <v>167</v>
      </c>
      <c r="E25">
        <v>314.93889999999999</v>
      </c>
      <c r="F25">
        <v>11.195</v>
      </c>
      <c r="G25">
        <v>166.76</v>
      </c>
      <c r="H25">
        <v>1692</v>
      </c>
    </row>
    <row r="26" spans="1:8" x14ac:dyDescent="0.25">
      <c r="A26">
        <v>4751</v>
      </c>
      <c r="B26">
        <v>460.9</v>
      </c>
      <c r="C26">
        <v>9.5</v>
      </c>
      <c r="D26">
        <v>160</v>
      </c>
      <c r="E26">
        <v>460.93110000000001</v>
      </c>
      <c r="F26">
        <v>9.4860000000000007</v>
      </c>
      <c r="G26">
        <v>159.59</v>
      </c>
      <c r="H26">
        <v>4751</v>
      </c>
    </row>
    <row r="27" spans="1:8" x14ac:dyDescent="0.25">
      <c r="A27">
        <v>7712</v>
      </c>
      <c r="B27">
        <v>413</v>
      </c>
      <c r="C27">
        <v>9.5</v>
      </c>
      <c r="D27">
        <v>182</v>
      </c>
      <c r="E27">
        <v>412.96350000000001</v>
      </c>
      <c r="F27">
        <v>9.5060000000000002</v>
      </c>
      <c r="G27">
        <v>182.09</v>
      </c>
      <c r="H27">
        <v>7712</v>
      </c>
    </row>
    <row r="28" spans="1:8" x14ac:dyDescent="0.25">
      <c r="A28">
        <v>2318</v>
      </c>
      <c r="B28">
        <v>514.9</v>
      </c>
      <c r="C28">
        <v>10.6</v>
      </c>
      <c r="D28">
        <v>172</v>
      </c>
      <c r="E28">
        <v>514.92240000000004</v>
      </c>
      <c r="F28">
        <v>10.638</v>
      </c>
      <c r="G28">
        <v>172</v>
      </c>
      <c r="H28">
        <v>2318</v>
      </c>
    </row>
    <row r="29" spans="1:8" x14ac:dyDescent="0.25">
      <c r="A29">
        <v>6811</v>
      </c>
      <c r="B29">
        <v>481</v>
      </c>
      <c r="C29">
        <v>10.5</v>
      </c>
      <c r="D29">
        <v>166</v>
      </c>
      <c r="E29">
        <v>480.96789999999999</v>
      </c>
      <c r="F29">
        <v>10.542</v>
      </c>
      <c r="G29">
        <v>165.79</v>
      </c>
      <c r="H29">
        <v>6811</v>
      </c>
    </row>
    <row r="30" spans="1:8" x14ac:dyDescent="0.25">
      <c r="A30">
        <v>2216</v>
      </c>
      <c r="B30">
        <v>281</v>
      </c>
      <c r="C30">
        <v>3</v>
      </c>
      <c r="D30">
        <v>154</v>
      </c>
      <c r="E30">
        <v>281.04289999999997</v>
      </c>
      <c r="F30">
        <v>2.9740000000000002</v>
      </c>
      <c r="G30">
        <v>153.5</v>
      </c>
      <c r="H30">
        <v>2216</v>
      </c>
    </row>
    <row r="31" spans="1:8" x14ac:dyDescent="0.25">
      <c r="A31">
        <v>1559</v>
      </c>
      <c r="B31">
        <v>662.9</v>
      </c>
      <c r="C31">
        <v>13</v>
      </c>
      <c r="D31">
        <v>225</v>
      </c>
      <c r="E31">
        <v>662.94849999999997</v>
      </c>
      <c r="F31">
        <v>12.965</v>
      </c>
      <c r="G31">
        <v>224.53</v>
      </c>
      <c r="H31">
        <v>1559</v>
      </c>
    </row>
    <row r="32" spans="1:8" x14ac:dyDescent="0.25">
      <c r="A32">
        <v>745</v>
      </c>
      <c r="B32">
        <v>498.9</v>
      </c>
      <c r="C32">
        <v>9.9</v>
      </c>
      <c r="D32">
        <v>163</v>
      </c>
      <c r="E32">
        <v>498.92790000000002</v>
      </c>
      <c r="F32">
        <v>9.9039999999999999</v>
      </c>
      <c r="G32">
        <v>163.35</v>
      </c>
      <c r="H32">
        <v>745</v>
      </c>
    </row>
    <row r="33" spans="1:8" x14ac:dyDescent="0.25">
      <c r="A33">
        <v>5135</v>
      </c>
      <c r="B33">
        <v>449</v>
      </c>
      <c r="C33">
        <v>11</v>
      </c>
      <c r="D33">
        <v>173</v>
      </c>
      <c r="E33">
        <v>448.96550000000002</v>
      </c>
      <c r="F33">
        <v>10.999000000000001</v>
      </c>
      <c r="G33">
        <v>173.02</v>
      </c>
      <c r="H33">
        <v>5135</v>
      </c>
    </row>
    <row r="34" spans="1:8" x14ac:dyDescent="0.25">
      <c r="A34">
        <v>1599</v>
      </c>
      <c r="B34">
        <v>569</v>
      </c>
      <c r="C34">
        <v>12.5</v>
      </c>
      <c r="D34">
        <v>216</v>
      </c>
      <c r="E34">
        <v>568.96220000000005</v>
      </c>
      <c r="F34">
        <v>12.464</v>
      </c>
      <c r="G34">
        <v>216.24</v>
      </c>
      <c r="H34">
        <v>1599</v>
      </c>
    </row>
    <row r="35" spans="1:8" x14ac:dyDescent="0.25">
      <c r="A35">
        <v>110</v>
      </c>
      <c r="B35">
        <v>469</v>
      </c>
      <c r="C35">
        <v>11.2</v>
      </c>
      <c r="D35">
        <v>174</v>
      </c>
      <c r="E35">
        <v>468.9692</v>
      </c>
      <c r="F35">
        <v>11.222</v>
      </c>
      <c r="G35">
        <v>174.45</v>
      </c>
      <c r="H35">
        <v>110</v>
      </c>
    </row>
    <row r="36" spans="1:8" x14ac:dyDescent="0.25">
      <c r="A36">
        <v>800</v>
      </c>
      <c r="B36">
        <v>519</v>
      </c>
      <c r="C36">
        <v>11.7</v>
      </c>
      <c r="D36">
        <v>182</v>
      </c>
      <c r="E36">
        <v>518.96469999999999</v>
      </c>
      <c r="F36">
        <v>11.706</v>
      </c>
      <c r="G36">
        <v>181.59</v>
      </c>
      <c r="H36">
        <v>800</v>
      </c>
    </row>
    <row r="37" spans="1:8" x14ac:dyDescent="0.25">
      <c r="A37">
        <v>1593</v>
      </c>
      <c r="B37">
        <v>519</v>
      </c>
      <c r="C37">
        <v>11.7</v>
      </c>
      <c r="D37">
        <v>165</v>
      </c>
      <c r="E37">
        <v>518.96410000000003</v>
      </c>
      <c r="F37">
        <v>11.722</v>
      </c>
      <c r="G37">
        <v>165.49</v>
      </c>
      <c r="H37">
        <v>1593</v>
      </c>
    </row>
    <row r="38" spans="1:8" x14ac:dyDescent="0.25">
      <c r="A38">
        <v>5849</v>
      </c>
      <c r="B38">
        <v>719</v>
      </c>
      <c r="C38">
        <v>13.8</v>
      </c>
      <c r="D38">
        <v>219</v>
      </c>
      <c r="E38">
        <v>718.95240000000001</v>
      </c>
      <c r="F38">
        <v>13.779</v>
      </c>
      <c r="G38">
        <v>218.55</v>
      </c>
      <c r="H38">
        <v>5849</v>
      </c>
    </row>
    <row r="39" spans="1:8" x14ac:dyDescent="0.25">
      <c r="A39">
        <v>656</v>
      </c>
      <c r="B39">
        <v>419</v>
      </c>
      <c r="C39">
        <v>10.4</v>
      </c>
      <c r="D39">
        <v>166</v>
      </c>
      <c r="E39">
        <v>418.9717</v>
      </c>
      <c r="F39">
        <v>10.439</v>
      </c>
      <c r="G39">
        <v>165.57</v>
      </c>
      <c r="H39">
        <v>656</v>
      </c>
    </row>
    <row r="40" spans="1:8" x14ac:dyDescent="0.25">
      <c r="A40">
        <v>8428</v>
      </c>
      <c r="B40">
        <v>768.9</v>
      </c>
      <c r="C40">
        <v>14.1</v>
      </c>
      <c r="D40">
        <v>227</v>
      </c>
      <c r="E40">
        <v>768.94830000000002</v>
      </c>
      <c r="F40">
        <v>14.117000000000001</v>
      </c>
      <c r="G40">
        <v>227.25</v>
      </c>
      <c r="H40">
        <v>8428</v>
      </c>
    </row>
    <row r="41" spans="1:8" x14ac:dyDescent="0.25">
      <c r="A41">
        <v>372</v>
      </c>
      <c r="B41">
        <v>519</v>
      </c>
      <c r="C41">
        <v>11.9</v>
      </c>
      <c r="D41">
        <v>183</v>
      </c>
      <c r="E41">
        <v>518.96410000000003</v>
      </c>
      <c r="F41">
        <v>11.882999999999999</v>
      </c>
      <c r="G41">
        <v>183.28</v>
      </c>
      <c r="H41">
        <v>372</v>
      </c>
    </row>
    <row r="42" spans="1:8" x14ac:dyDescent="0.25">
      <c r="A42">
        <v>2857</v>
      </c>
      <c r="B42">
        <v>564.9</v>
      </c>
      <c r="C42">
        <v>11.4</v>
      </c>
      <c r="D42">
        <v>182</v>
      </c>
      <c r="E42">
        <v>564.91869999999994</v>
      </c>
      <c r="F42">
        <v>11.356</v>
      </c>
      <c r="G42">
        <v>181.89</v>
      </c>
      <c r="H42">
        <v>2857</v>
      </c>
    </row>
    <row r="43" spans="1:8" x14ac:dyDescent="0.25">
      <c r="A43">
        <v>3511</v>
      </c>
      <c r="B43">
        <v>207</v>
      </c>
      <c r="C43">
        <v>3.5</v>
      </c>
      <c r="D43">
        <v>145</v>
      </c>
      <c r="E43">
        <v>207.04220000000001</v>
      </c>
      <c r="F43">
        <v>3.4550000000000001</v>
      </c>
      <c r="G43">
        <v>145.44</v>
      </c>
      <c r="H43">
        <v>3511</v>
      </c>
    </row>
    <row r="44" spans="1:8" x14ac:dyDescent="0.25">
      <c r="A44">
        <v>1159</v>
      </c>
      <c r="B44">
        <v>229.1</v>
      </c>
      <c r="C44">
        <v>5.9</v>
      </c>
      <c r="D44">
        <v>152</v>
      </c>
      <c r="E44">
        <v>229.0549</v>
      </c>
      <c r="F44">
        <v>5.9269999999999996</v>
      </c>
      <c r="G44">
        <v>151.66999999999999</v>
      </c>
      <c r="H44">
        <v>1159</v>
      </c>
    </row>
    <row r="45" spans="1:8" x14ac:dyDescent="0.25">
      <c r="A45">
        <v>278</v>
      </c>
      <c r="B45">
        <v>589</v>
      </c>
      <c r="C45">
        <v>11.9</v>
      </c>
      <c r="D45">
        <v>220</v>
      </c>
      <c r="E45">
        <v>589.01390000000004</v>
      </c>
      <c r="F45">
        <v>11.891999999999999</v>
      </c>
      <c r="G45">
        <v>219.96</v>
      </c>
      <c r="H45">
        <v>278</v>
      </c>
    </row>
    <row r="46" spans="1:8" x14ac:dyDescent="0.25">
      <c r="A46">
        <v>442</v>
      </c>
      <c r="B46">
        <v>619</v>
      </c>
      <c r="C46">
        <v>13</v>
      </c>
      <c r="D46">
        <v>201</v>
      </c>
      <c r="E46">
        <v>618.95929999999998</v>
      </c>
      <c r="F46">
        <v>12.964</v>
      </c>
      <c r="G46">
        <v>201.05</v>
      </c>
      <c r="H46">
        <v>442</v>
      </c>
    </row>
    <row r="47" spans="1:8" x14ac:dyDescent="0.25">
      <c r="A47">
        <v>331</v>
      </c>
      <c r="B47">
        <v>323.10000000000002</v>
      </c>
      <c r="C47">
        <v>3.5</v>
      </c>
      <c r="D47">
        <v>169</v>
      </c>
      <c r="E47">
        <v>323.08960000000002</v>
      </c>
      <c r="F47">
        <v>3.4620000000000002</v>
      </c>
      <c r="G47">
        <v>169.39</v>
      </c>
      <c r="H47">
        <v>331</v>
      </c>
    </row>
    <row r="48" spans="1:8" x14ac:dyDescent="0.25">
      <c r="A48">
        <v>2866</v>
      </c>
      <c r="B48">
        <v>519</v>
      </c>
      <c r="C48">
        <v>11.9</v>
      </c>
      <c r="D48">
        <v>208</v>
      </c>
      <c r="E48">
        <v>518.96420000000001</v>
      </c>
      <c r="F48">
        <v>11.891</v>
      </c>
      <c r="G48">
        <v>207.76</v>
      </c>
      <c r="H48">
        <v>2866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D0F91-30EB-4B2E-B175-2938A4216FBE}">
  <dimension ref="A1:EJ32"/>
  <sheetViews>
    <sheetView topLeftCell="A8" zoomScale="80" zoomScaleNormal="80" workbookViewId="0">
      <selection activeCell="G25" sqref="G25"/>
    </sheetView>
  </sheetViews>
  <sheetFormatPr defaultRowHeight="15" x14ac:dyDescent="0.25"/>
  <cols>
    <col min="1" max="1" width="29.140625" customWidth="1"/>
    <col min="6" max="6" width="71.5703125" style="16" customWidth="1"/>
    <col min="7" max="7" width="57.7109375" style="16" customWidth="1"/>
    <col min="8" max="8" width="21.140625" style="16" customWidth="1"/>
    <col min="9" max="9" width="19.28515625" style="16" customWidth="1"/>
    <col min="20" max="20" width="12.7109375" bestFit="1" customWidth="1"/>
  </cols>
  <sheetData>
    <row r="1" spans="1:140" x14ac:dyDescent="0.25">
      <c r="A1" s="1" t="s">
        <v>436</v>
      </c>
      <c r="B1" s="1" t="s">
        <v>6</v>
      </c>
      <c r="C1" s="1" t="s">
        <v>12</v>
      </c>
      <c r="D1" s="1" t="s">
        <v>7</v>
      </c>
      <c r="E1" s="4" t="s">
        <v>336</v>
      </c>
      <c r="F1" s="17" t="s">
        <v>340</v>
      </c>
      <c r="G1" s="18" t="s">
        <v>426</v>
      </c>
      <c r="H1" s="18" t="s">
        <v>481</v>
      </c>
      <c r="I1" s="18" t="s">
        <v>502</v>
      </c>
      <c r="J1" s="1" t="s">
        <v>11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</v>
      </c>
      <c r="R1" s="1" t="s">
        <v>2</v>
      </c>
      <c r="S1" s="1" t="s">
        <v>3</v>
      </c>
      <c r="T1" s="1" t="s">
        <v>4</v>
      </c>
      <c r="U1" s="1" t="s">
        <v>5</v>
      </c>
      <c r="V1" s="1" t="s">
        <v>19</v>
      </c>
      <c r="W1" s="1" t="s">
        <v>8</v>
      </c>
      <c r="X1" s="1" t="s">
        <v>9</v>
      </c>
      <c r="Y1" s="1" t="s">
        <v>10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219</v>
      </c>
      <c r="AR1" s="1" t="s">
        <v>0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55</v>
      </c>
      <c r="BE1" s="1" t="s">
        <v>56</v>
      </c>
      <c r="BF1" s="1" t="s">
        <v>57</v>
      </c>
      <c r="BG1" s="1" t="s">
        <v>220</v>
      </c>
      <c r="BH1" s="1" t="s">
        <v>58</v>
      </c>
      <c r="BI1" s="1" t="s">
        <v>59</v>
      </c>
      <c r="BJ1" s="1" t="s">
        <v>221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222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223</v>
      </c>
      <c r="CC1" s="1" t="s">
        <v>76</v>
      </c>
      <c r="CD1" s="1" t="s">
        <v>77</v>
      </c>
      <c r="CE1" s="1" t="s">
        <v>78</v>
      </c>
      <c r="CF1" s="1" t="s">
        <v>79</v>
      </c>
      <c r="CG1" s="1" t="s">
        <v>80</v>
      </c>
      <c r="CH1" s="1" t="s">
        <v>81</v>
      </c>
      <c r="CI1" s="1" t="s">
        <v>82</v>
      </c>
      <c r="CJ1" s="1" t="s">
        <v>83</v>
      </c>
      <c r="CK1" s="1" t="s">
        <v>84</v>
      </c>
      <c r="CL1" s="1" t="s">
        <v>87</v>
      </c>
      <c r="CM1" s="1" t="s">
        <v>88</v>
      </c>
      <c r="CN1" s="1" t="s">
        <v>89</v>
      </c>
      <c r="CO1" s="1" t="s">
        <v>90</v>
      </c>
      <c r="CP1" s="1" t="s">
        <v>91</v>
      </c>
      <c r="CQ1" s="1" t="s">
        <v>92</v>
      </c>
      <c r="CR1" s="1" t="s">
        <v>93</v>
      </c>
      <c r="CS1" s="1" t="s">
        <v>94</v>
      </c>
      <c r="CT1" s="1" t="s">
        <v>95</v>
      </c>
      <c r="CU1" s="1" t="s">
        <v>96</v>
      </c>
      <c r="CV1" s="1" t="s">
        <v>97</v>
      </c>
      <c r="CW1" s="1" t="s">
        <v>224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  <c r="DD1" s="1" t="s">
        <v>104</v>
      </c>
      <c r="DE1" s="1" t="s">
        <v>105</v>
      </c>
      <c r="DF1" s="1" t="s">
        <v>106</v>
      </c>
      <c r="DG1" s="1" t="s">
        <v>107</v>
      </c>
      <c r="DH1" s="1" t="s">
        <v>108</v>
      </c>
      <c r="DI1" s="1" t="s">
        <v>109</v>
      </c>
      <c r="DJ1" s="1" t="s">
        <v>110</v>
      </c>
      <c r="DK1" s="1" t="s">
        <v>111</v>
      </c>
      <c r="DL1" s="1" t="s">
        <v>112</v>
      </c>
      <c r="DM1" s="1" t="s">
        <v>113</v>
      </c>
      <c r="DN1" s="1" t="s">
        <v>114</v>
      </c>
      <c r="DO1" s="1" t="s">
        <v>115</v>
      </c>
      <c r="DP1" s="1" t="s">
        <v>116</v>
      </c>
      <c r="DQ1" s="1" t="s">
        <v>117</v>
      </c>
      <c r="DR1" s="1" t="s">
        <v>118</v>
      </c>
      <c r="DS1" s="1" t="s">
        <v>119</v>
      </c>
      <c r="DT1" s="1" t="s">
        <v>120</v>
      </c>
      <c r="DU1" s="1" t="s">
        <v>121</v>
      </c>
      <c r="DV1" s="1" t="s">
        <v>122</v>
      </c>
      <c r="DW1" s="1" t="s">
        <v>123</v>
      </c>
      <c r="DX1" s="1" t="s">
        <v>124</v>
      </c>
      <c r="DY1" s="1" t="s">
        <v>126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2" t="s">
        <v>336</v>
      </c>
    </row>
    <row r="2" spans="1:140" s="6" customFormat="1" ht="30" x14ac:dyDescent="0.25">
      <c r="A2" s="58">
        <v>1692</v>
      </c>
      <c r="B2" s="6">
        <v>314.93889999999999</v>
      </c>
      <c r="C2" s="6">
        <v>166.76</v>
      </c>
      <c r="D2" s="6">
        <v>11.195</v>
      </c>
      <c r="E2" s="21">
        <v>0.28125</v>
      </c>
      <c r="F2" s="22" t="s">
        <v>478</v>
      </c>
      <c r="G2" s="22" t="s">
        <v>458</v>
      </c>
      <c r="H2" s="22"/>
      <c r="I2" s="22"/>
      <c r="J2" s="6">
        <v>22.149000000000001</v>
      </c>
      <c r="K2" s="6">
        <v>-1</v>
      </c>
      <c r="L2" s="6">
        <v>5</v>
      </c>
      <c r="M2" s="6">
        <v>38</v>
      </c>
      <c r="N2" s="6">
        <v>100</v>
      </c>
      <c r="P2" s="6" t="b">
        <v>0</v>
      </c>
      <c r="Q2" s="6" t="s">
        <v>230</v>
      </c>
      <c r="R2" s="6" t="s">
        <v>181</v>
      </c>
      <c r="S2" s="6" t="s">
        <v>256</v>
      </c>
      <c r="T2" s="6" t="s">
        <v>257</v>
      </c>
      <c r="U2" s="6" t="s">
        <v>258</v>
      </c>
      <c r="V2" s="6" t="s">
        <v>259</v>
      </c>
      <c r="W2" s="6" t="s">
        <v>137</v>
      </c>
      <c r="X2" s="6" t="s">
        <v>231</v>
      </c>
      <c r="Y2" s="6" t="s">
        <v>137</v>
      </c>
      <c r="Z2" s="6">
        <v>315</v>
      </c>
      <c r="AA2" s="6">
        <v>-6.1100000000010403E-2</v>
      </c>
      <c r="AB2" s="6">
        <v>314.95901681035502</v>
      </c>
      <c r="AC2" s="6">
        <v>315</v>
      </c>
      <c r="AD2" s="6">
        <v>-4.09831896454875E-2</v>
      </c>
      <c r="AE2" s="6">
        <v>32</v>
      </c>
      <c r="AF2" s="6">
        <v>0</v>
      </c>
      <c r="AG2" s="6">
        <v>0</v>
      </c>
      <c r="AH2" s="6" t="b">
        <v>1</v>
      </c>
      <c r="AK2" s="6" t="b">
        <v>0</v>
      </c>
      <c r="AL2" s="6" t="b">
        <v>0</v>
      </c>
      <c r="AM2" s="6" t="b">
        <v>0</v>
      </c>
      <c r="AN2" s="6" t="b">
        <v>1</v>
      </c>
      <c r="AO2" s="6" t="s">
        <v>230</v>
      </c>
      <c r="AP2" s="6" t="s">
        <v>231</v>
      </c>
      <c r="AQ2" s="6" t="b">
        <v>1</v>
      </c>
      <c r="AR2" s="6">
        <v>1692</v>
      </c>
      <c r="AS2" s="6">
        <v>504.62180000000001</v>
      </c>
      <c r="AT2" s="6">
        <v>833.62180000000001</v>
      </c>
      <c r="AU2" s="6">
        <v>42.621789999999997</v>
      </c>
      <c r="AW2" s="6">
        <v>175.62180000000001</v>
      </c>
      <c r="AX2" s="6">
        <v>295.62180000000001</v>
      </c>
      <c r="BA2" s="6">
        <v>91.621790000000004</v>
      </c>
      <c r="BD2" s="6">
        <v>321.62180000000001</v>
      </c>
      <c r="BE2" s="6">
        <v>16.621790000000001</v>
      </c>
      <c r="BF2" s="6">
        <v>184.62180000000001</v>
      </c>
      <c r="BG2" s="6">
        <v>141.62180000000001</v>
      </c>
      <c r="BH2" s="6">
        <v>61.621789999999997</v>
      </c>
      <c r="BI2" s="6">
        <v>17.621790000000001</v>
      </c>
      <c r="BJ2" s="6">
        <v>66.621789300000003</v>
      </c>
      <c r="BN2" s="6">
        <v>27.621790000000001</v>
      </c>
      <c r="BO2" s="6">
        <v>33.621789999999997</v>
      </c>
      <c r="BR2" s="6">
        <v>405.62180000000001</v>
      </c>
      <c r="BS2" s="6">
        <v>43.621789999999997</v>
      </c>
      <c r="BT2" s="6">
        <v>200.62180000000001</v>
      </c>
      <c r="BU2" s="6">
        <v>188.62180000000001</v>
      </c>
      <c r="BW2" s="6">
        <v>136.62180000000001</v>
      </c>
      <c r="BX2" s="6">
        <v>57.621789999999997</v>
      </c>
      <c r="BY2" s="6">
        <v>197.62180000000001</v>
      </c>
      <c r="BZ2" s="6">
        <v>16.621790000000001</v>
      </c>
      <c r="CA2" s="6">
        <v>635.62180000000001</v>
      </c>
      <c r="CC2" s="6">
        <v>224.62180000000001</v>
      </c>
      <c r="CE2" s="6">
        <v>256.62180000000001</v>
      </c>
      <c r="CK2" s="6">
        <v>53.621789300000003</v>
      </c>
      <c r="EE2" s="21">
        <f t="shared" ref="EE2:EE8" si="0">COUNT(AS2:ED2)/96</f>
        <v>0.28125</v>
      </c>
    </row>
    <row r="3" spans="1:140" s="19" customFormat="1" ht="30" x14ac:dyDescent="0.25">
      <c r="A3" s="59">
        <v>4751</v>
      </c>
      <c r="B3" s="19">
        <v>460.93110000000001</v>
      </c>
      <c r="C3" s="19">
        <v>159.59</v>
      </c>
      <c r="D3" s="19">
        <v>9.4860000000000007</v>
      </c>
      <c r="E3" s="30">
        <v>0.19791666666666666</v>
      </c>
      <c r="F3" s="31" t="s">
        <v>500</v>
      </c>
      <c r="G3" s="31" t="s">
        <v>511</v>
      </c>
      <c r="H3" s="31" t="s">
        <v>501</v>
      </c>
      <c r="I3" s="31">
        <v>3</v>
      </c>
      <c r="J3" s="19">
        <v>21.471</v>
      </c>
      <c r="K3" s="19">
        <v>-1</v>
      </c>
      <c r="L3" s="19">
        <v>1</v>
      </c>
      <c r="M3" s="19">
        <v>19</v>
      </c>
      <c r="N3" s="19">
        <v>98.3</v>
      </c>
      <c r="P3" s="19" t="b">
        <v>0</v>
      </c>
      <c r="Q3" s="19" t="s">
        <v>230</v>
      </c>
      <c r="R3" s="19" t="s">
        <v>181</v>
      </c>
      <c r="S3" s="19" t="s">
        <v>275</v>
      </c>
      <c r="T3" s="19" t="s">
        <v>276</v>
      </c>
      <c r="U3" s="19" t="s">
        <v>277</v>
      </c>
      <c r="V3" s="19" t="s">
        <v>278</v>
      </c>
      <c r="W3" s="19" t="s">
        <v>139</v>
      </c>
      <c r="X3" s="19" t="s">
        <v>231</v>
      </c>
      <c r="Y3" s="19" t="s">
        <v>137</v>
      </c>
      <c r="Z3" s="19">
        <v>461</v>
      </c>
      <c r="AA3" s="19">
        <v>-6.8899999999985098E-2</v>
      </c>
      <c r="AB3" s="19">
        <v>460.960542102977</v>
      </c>
      <c r="AC3" s="19">
        <v>461</v>
      </c>
      <c r="AD3" s="19">
        <v>-3.9457897023226003E-2</v>
      </c>
      <c r="AE3" s="19">
        <v>35</v>
      </c>
      <c r="AF3" s="19">
        <v>0</v>
      </c>
      <c r="AG3" s="19">
        <v>0</v>
      </c>
      <c r="AH3" s="19" t="b">
        <v>1</v>
      </c>
      <c r="AK3" s="19" t="b">
        <v>0</v>
      </c>
      <c r="AL3" s="19" t="b">
        <v>0</v>
      </c>
      <c r="AM3" s="19" t="b">
        <v>0</v>
      </c>
      <c r="AN3" s="19" t="b">
        <v>1</v>
      </c>
      <c r="AO3" s="19" t="s">
        <v>230</v>
      </c>
      <c r="AP3" s="19" t="s">
        <v>231</v>
      </c>
      <c r="AQ3" s="19" t="b">
        <v>1</v>
      </c>
      <c r="AR3" s="19">
        <v>4751</v>
      </c>
      <c r="AV3" s="19">
        <v>147.999</v>
      </c>
      <c r="AY3" s="19">
        <v>179.999</v>
      </c>
      <c r="BH3" s="19">
        <v>285.99900000000002</v>
      </c>
      <c r="BL3" s="19">
        <v>150.999</v>
      </c>
      <c r="BX3" s="19">
        <v>83.998999999999995</v>
      </c>
      <c r="CC3" s="19">
        <v>111.999</v>
      </c>
      <c r="CD3" s="19">
        <v>131.999</v>
      </c>
      <c r="CE3" s="19">
        <v>276.99900000000002</v>
      </c>
      <c r="CG3" s="19">
        <v>305.99900000000002</v>
      </c>
      <c r="CP3" s="19">
        <v>124.999</v>
      </c>
      <c r="CQ3" s="19">
        <v>236.999</v>
      </c>
      <c r="CT3" s="19">
        <v>128.999</v>
      </c>
      <c r="CV3" s="19">
        <v>71.998999999999995</v>
      </c>
      <c r="CZ3" s="19">
        <v>102.999</v>
      </c>
      <c r="DB3" s="19">
        <v>127.999</v>
      </c>
      <c r="DC3" s="19">
        <v>122.999</v>
      </c>
      <c r="DK3" s="19">
        <v>202.999</v>
      </c>
      <c r="DT3" s="19">
        <v>58.999000000000002</v>
      </c>
      <c r="EA3" s="19">
        <v>264.99900000000002</v>
      </c>
      <c r="EE3" s="30">
        <f t="shared" si="0"/>
        <v>0.19791666666666666</v>
      </c>
    </row>
    <row r="4" spans="1:140" s="19" customFormat="1" x14ac:dyDescent="0.25">
      <c r="A4" s="59">
        <v>7712</v>
      </c>
      <c r="B4" s="19">
        <v>412.96350000000001</v>
      </c>
      <c r="C4" s="19">
        <v>182.09</v>
      </c>
      <c r="D4" s="19">
        <v>9.5060000000000002</v>
      </c>
      <c r="E4" s="30">
        <v>4.1666666666666664E-2</v>
      </c>
      <c r="F4" s="31" t="s">
        <v>427</v>
      </c>
      <c r="G4" s="31" t="s">
        <v>513</v>
      </c>
      <c r="H4" s="31" t="s">
        <v>512</v>
      </c>
      <c r="I4" s="31" t="s">
        <v>512</v>
      </c>
      <c r="J4" s="19">
        <v>24.425000000000001</v>
      </c>
      <c r="K4" s="19">
        <v>-1</v>
      </c>
      <c r="L4" s="19">
        <v>1</v>
      </c>
      <c r="M4" s="19">
        <v>12</v>
      </c>
      <c r="N4" s="19">
        <v>99.6</v>
      </c>
      <c r="P4" s="19" t="b">
        <v>0</v>
      </c>
      <c r="Q4" s="19" t="s">
        <v>225</v>
      </c>
      <c r="R4" s="19" t="s">
        <v>166</v>
      </c>
      <c r="S4" s="19" t="s">
        <v>292</v>
      </c>
      <c r="T4" s="32" t="s">
        <v>330</v>
      </c>
      <c r="V4" s="19" t="s">
        <v>240</v>
      </c>
      <c r="X4" s="19" t="s">
        <v>228</v>
      </c>
      <c r="Y4" s="19" t="s">
        <v>137</v>
      </c>
      <c r="Z4" s="19">
        <v>413</v>
      </c>
      <c r="AA4" s="19">
        <v>-3.6499999999989499E-2</v>
      </c>
      <c r="AB4" s="19">
        <v>412.98987815910601</v>
      </c>
      <c r="AC4" s="19">
        <v>413</v>
      </c>
      <c r="AD4" s="19">
        <v>-1.01218408941008E-2</v>
      </c>
      <c r="AE4" s="19">
        <v>37</v>
      </c>
      <c r="AF4" s="19">
        <v>14</v>
      </c>
      <c r="AG4" s="19">
        <v>4</v>
      </c>
      <c r="AH4" s="19" t="b">
        <v>1</v>
      </c>
      <c r="AI4" s="19" t="s">
        <v>142</v>
      </c>
      <c r="AJ4" s="19" t="s">
        <v>165</v>
      </c>
      <c r="AK4" s="19" t="b">
        <v>0</v>
      </c>
      <c r="AL4" s="19" t="b">
        <v>1</v>
      </c>
      <c r="AM4" s="19" t="b">
        <v>1</v>
      </c>
      <c r="AN4" s="19" t="b">
        <v>0</v>
      </c>
      <c r="AO4" s="19" t="s">
        <v>225</v>
      </c>
      <c r="AP4" s="19" t="s">
        <v>228</v>
      </c>
      <c r="AQ4" s="19" t="b">
        <v>1</v>
      </c>
      <c r="AR4" s="19">
        <v>7712</v>
      </c>
      <c r="AT4" s="19">
        <v>180.999</v>
      </c>
      <c r="DG4" s="19">
        <v>118.999</v>
      </c>
      <c r="DL4" s="19">
        <v>64.998999999999995</v>
      </c>
      <c r="EA4" s="19">
        <v>98.998999999999995</v>
      </c>
      <c r="EE4" s="30">
        <f t="shared" si="0"/>
        <v>4.1666666666666664E-2</v>
      </c>
    </row>
    <row r="5" spans="1:140" s="24" customFormat="1" ht="90" customHeight="1" x14ac:dyDescent="0.25">
      <c r="A5" s="60">
        <v>2318</v>
      </c>
      <c r="B5" s="24">
        <v>514.92240000000004</v>
      </c>
      <c r="C5" s="24">
        <v>172</v>
      </c>
      <c r="D5" s="24">
        <v>10.638</v>
      </c>
      <c r="E5" s="25">
        <v>4.1666666666666664E-2</v>
      </c>
      <c r="F5" s="26" t="s">
        <v>460</v>
      </c>
      <c r="G5" s="26" t="s">
        <v>498</v>
      </c>
      <c r="H5" s="26" t="s">
        <v>482</v>
      </c>
      <c r="I5" s="26">
        <v>2</v>
      </c>
      <c r="J5" s="24">
        <v>23.212</v>
      </c>
      <c r="K5" s="24">
        <v>-1</v>
      </c>
      <c r="L5" s="24">
        <v>1</v>
      </c>
      <c r="M5" s="24">
        <v>34</v>
      </c>
      <c r="N5" s="24">
        <v>99.5</v>
      </c>
      <c r="P5" s="24" t="b">
        <v>0</v>
      </c>
      <c r="Q5" s="24" t="s">
        <v>237</v>
      </c>
      <c r="R5" s="24" t="s">
        <v>192</v>
      </c>
      <c r="S5" s="24" t="s">
        <v>263</v>
      </c>
      <c r="T5" s="24" t="s">
        <v>442</v>
      </c>
      <c r="V5" s="24" t="s">
        <v>240</v>
      </c>
      <c r="X5" s="24" t="s">
        <v>239</v>
      </c>
      <c r="Y5" s="24" t="s">
        <v>137</v>
      </c>
      <c r="Z5" s="24">
        <v>515</v>
      </c>
      <c r="AA5" s="24">
        <v>-7.7599999999961297E-2</v>
      </c>
      <c r="AB5" s="24">
        <v>514.955290812371</v>
      </c>
      <c r="AC5" s="24">
        <v>515</v>
      </c>
      <c r="AD5" s="24">
        <v>-4.4709187629450801E-2</v>
      </c>
      <c r="AE5" s="24">
        <v>34</v>
      </c>
      <c r="AF5" s="24">
        <v>9</v>
      </c>
      <c r="AG5" s="24">
        <v>3</v>
      </c>
      <c r="AH5" s="24" t="b">
        <v>1</v>
      </c>
      <c r="AI5" s="24" t="s">
        <v>142</v>
      </c>
      <c r="AJ5" s="24" t="s">
        <v>143</v>
      </c>
      <c r="AK5" s="24" t="b">
        <v>0</v>
      </c>
      <c r="AL5" s="24" t="b">
        <v>1</v>
      </c>
      <c r="AM5" s="24" t="b">
        <v>1</v>
      </c>
      <c r="AN5" s="24" t="b">
        <v>0</v>
      </c>
      <c r="AO5" s="24" t="s">
        <v>237</v>
      </c>
      <c r="AP5" s="24" t="s">
        <v>239</v>
      </c>
      <c r="AQ5" s="24" t="b">
        <v>1</v>
      </c>
      <c r="AR5" s="24">
        <v>2318</v>
      </c>
      <c r="AV5" s="24">
        <v>220.02629999999999</v>
      </c>
      <c r="BH5" s="24">
        <v>239.02629999999999</v>
      </c>
      <c r="BX5" s="24">
        <v>113.02630000000001</v>
      </c>
      <c r="CE5" s="24">
        <v>324.02629999999999</v>
      </c>
      <c r="EE5" s="25">
        <f t="shared" si="0"/>
        <v>4.1666666666666664E-2</v>
      </c>
    </row>
    <row r="6" spans="1:140" s="52" customFormat="1" ht="60" x14ac:dyDescent="0.25">
      <c r="A6" s="61">
        <v>6811</v>
      </c>
      <c r="B6" s="52">
        <v>480.96789999999999</v>
      </c>
      <c r="C6" s="52">
        <v>165.79</v>
      </c>
      <c r="D6" s="52">
        <v>10.542</v>
      </c>
      <c r="E6" s="53">
        <v>3.125E-2</v>
      </c>
      <c r="F6" s="54" t="s">
        <v>445</v>
      </c>
      <c r="G6" s="54" t="s">
        <v>451</v>
      </c>
      <c r="H6" s="54" t="s">
        <v>598</v>
      </c>
      <c r="I6" s="54" t="s">
        <v>512</v>
      </c>
      <c r="J6" s="52">
        <v>22.343</v>
      </c>
      <c r="K6" s="52">
        <v>-1</v>
      </c>
      <c r="L6" s="52">
        <v>1</v>
      </c>
      <c r="M6" s="52">
        <v>17</v>
      </c>
      <c r="N6" s="52">
        <v>99.4</v>
      </c>
      <c r="P6" s="52" t="b">
        <v>0</v>
      </c>
      <c r="Q6" s="52" t="s">
        <v>237</v>
      </c>
      <c r="R6" s="52" t="s">
        <v>145</v>
      </c>
      <c r="S6" s="52" t="s">
        <v>283</v>
      </c>
      <c r="T6" s="52" t="s">
        <v>441</v>
      </c>
      <c r="V6" s="52" t="s">
        <v>240</v>
      </c>
      <c r="X6" s="52" t="s">
        <v>239</v>
      </c>
      <c r="Y6" s="52" t="s">
        <v>137</v>
      </c>
      <c r="Z6" s="52">
        <v>481</v>
      </c>
      <c r="AA6" s="52">
        <v>-3.2100000000013999E-2</v>
      </c>
      <c r="AB6" s="52">
        <v>480.99862195918303</v>
      </c>
      <c r="AC6" s="52">
        <v>481</v>
      </c>
      <c r="AD6" s="52">
        <v>-1.3780408171442E-3</v>
      </c>
      <c r="AE6" s="52">
        <v>32</v>
      </c>
      <c r="AF6" s="52">
        <v>10</v>
      </c>
      <c r="AG6" s="52">
        <v>4</v>
      </c>
      <c r="AH6" s="52" t="b">
        <v>1</v>
      </c>
      <c r="AI6" s="52" t="s">
        <v>142</v>
      </c>
      <c r="AJ6" s="52" t="s">
        <v>143</v>
      </c>
      <c r="AK6" s="52" t="b">
        <v>0</v>
      </c>
      <c r="AL6" s="52" t="b">
        <v>1</v>
      </c>
      <c r="AM6" s="52" t="b">
        <v>1</v>
      </c>
      <c r="AN6" s="52" t="b">
        <v>0</v>
      </c>
      <c r="AO6" s="52" t="s">
        <v>237</v>
      </c>
      <c r="AP6" s="52" t="s">
        <v>239</v>
      </c>
      <c r="AQ6" s="52" t="b">
        <v>1</v>
      </c>
      <c r="AR6" s="52">
        <v>6811</v>
      </c>
      <c r="BB6" s="52">
        <v>116.8349</v>
      </c>
      <c r="CB6" s="52">
        <v>66.834950000000006</v>
      </c>
      <c r="CT6" s="52">
        <v>83.834950000000006</v>
      </c>
      <c r="EE6" s="53">
        <f t="shared" si="0"/>
        <v>3.125E-2</v>
      </c>
    </row>
    <row r="7" spans="1:140" x14ac:dyDescent="0.25">
      <c r="A7" s="69">
        <v>2216</v>
      </c>
      <c r="B7">
        <v>281.04289999999997</v>
      </c>
      <c r="C7">
        <v>153.5</v>
      </c>
      <c r="D7">
        <v>2.9740000000000002</v>
      </c>
      <c r="E7" s="3">
        <v>2.0833333333333332E-2</v>
      </c>
      <c r="F7" s="16" t="s">
        <v>446</v>
      </c>
      <c r="J7">
        <v>20.286999999999999</v>
      </c>
      <c r="K7">
        <v>-1</v>
      </c>
      <c r="L7">
        <v>1</v>
      </c>
      <c r="M7">
        <v>42</v>
      </c>
      <c r="N7">
        <v>99.8</v>
      </c>
      <c r="P7" t="b">
        <v>0</v>
      </c>
      <c r="Q7" t="s">
        <v>237</v>
      </c>
      <c r="R7" t="s">
        <v>248</v>
      </c>
      <c r="S7" t="s">
        <v>262</v>
      </c>
      <c r="T7" s="5" t="s">
        <v>443</v>
      </c>
      <c r="V7" t="s">
        <v>240</v>
      </c>
      <c r="X7" t="s">
        <v>239</v>
      </c>
      <c r="Y7" t="s">
        <v>137</v>
      </c>
      <c r="Z7">
        <v>281</v>
      </c>
      <c r="AA7">
        <v>4.2899999999974597E-2</v>
      </c>
      <c r="AB7">
        <v>281.06085169387097</v>
      </c>
      <c r="AC7">
        <v>281</v>
      </c>
      <c r="AD7">
        <v>6.0851693870688499E-2</v>
      </c>
      <c r="AE7">
        <v>43</v>
      </c>
      <c r="AF7">
        <v>16</v>
      </c>
      <c r="AG7">
        <v>3</v>
      </c>
      <c r="AH7" t="b">
        <v>1</v>
      </c>
      <c r="AI7" t="s">
        <v>142</v>
      </c>
      <c r="AJ7" t="s">
        <v>143</v>
      </c>
      <c r="AK7" t="b">
        <v>0</v>
      </c>
      <c r="AL7" t="b">
        <v>1</v>
      </c>
      <c r="AM7" t="b">
        <v>1</v>
      </c>
      <c r="AN7" t="b">
        <v>0</v>
      </c>
      <c r="AO7" t="s">
        <v>237</v>
      </c>
      <c r="AP7" t="s">
        <v>239</v>
      </c>
      <c r="AQ7" t="b">
        <v>1</v>
      </c>
      <c r="AR7">
        <v>2216</v>
      </c>
      <c r="BN7">
        <v>18.87932</v>
      </c>
      <c r="CT7">
        <v>99.879320000000007</v>
      </c>
      <c r="EE7" s="3">
        <f t="shared" si="0"/>
        <v>2.0833333333333332E-2</v>
      </c>
    </row>
    <row r="8" spans="1:140" s="49" customFormat="1" ht="105.75" customHeight="1" x14ac:dyDescent="0.25">
      <c r="A8" s="63">
        <v>5135</v>
      </c>
      <c r="B8" s="49">
        <v>448.96550000000002</v>
      </c>
      <c r="C8" s="49">
        <v>173.02</v>
      </c>
      <c r="D8" s="49">
        <v>10.999000000000001</v>
      </c>
      <c r="E8" s="51">
        <v>1.0416666666666666E-2</v>
      </c>
      <c r="F8" s="50" t="s">
        <v>553</v>
      </c>
      <c r="G8" s="50" t="s">
        <v>552</v>
      </c>
      <c r="H8" s="50" t="s">
        <v>675</v>
      </c>
      <c r="I8" s="50">
        <v>3</v>
      </c>
      <c r="J8" s="49">
        <v>23.263000000000002</v>
      </c>
      <c r="K8" s="49">
        <v>-1</v>
      </c>
      <c r="L8" s="49">
        <v>1</v>
      </c>
      <c r="M8" s="49">
        <v>13</v>
      </c>
      <c r="N8" s="49">
        <v>95.2</v>
      </c>
      <c r="P8" s="49" t="b">
        <v>0</v>
      </c>
      <c r="Q8" s="49" t="s">
        <v>237</v>
      </c>
      <c r="R8" s="49" t="s">
        <v>192</v>
      </c>
      <c r="S8" s="49" t="s">
        <v>280</v>
      </c>
      <c r="T8" s="49" t="s">
        <v>444</v>
      </c>
      <c r="V8" s="49" t="s">
        <v>240</v>
      </c>
      <c r="X8" s="49" t="s">
        <v>239</v>
      </c>
      <c r="Y8" s="49" t="s">
        <v>137</v>
      </c>
      <c r="Z8" s="49">
        <v>449</v>
      </c>
      <c r="AA8" s="49">
        <v>-3.4499999999979998E-2</v>
      </c>
      <c r="AB8" s="49">
        <v>448.99417779692902</v>
      </c>
      <c r="AC8" s="49">
        <v>449</v>
      </c>
      <c r="AD8" s="49">
        <v>-5.8222030710907997E-3</v>
      </c>
      <c r="AE8" s="49">
        <v>38</v>
      </c>
      <c r="AF8" s="49">
        <v>9</v>
      </c>
      <c r="AG8" s="49">
        <v>3</v>
      </c>
      <c r="AH8" s="49" t="b">
        <v>1</v>
      </c>
      <c r="AI8" s="49" t="s">
        <v>142</v>
      </c>
      <c r="AJ8" s="49" t="s">
        <v>143</v>
      </c>
      <c r="AK8" s="49" t="b">
        <v>0</v>
      </c>
      <c r="AL8" s="49" t="b">
        <v>1</v>
      </c>
      <c r="AM8" s="49" t="b">
        <v>1</v>
      </c>
      <c r="AN8" s="49" t="b">
        <v>0</v>
      </c>
      <c r="AO8" s="49" t="s">
        <v>237</v>
      </c>
      <c r="AP8" s="49" t="s">
        <v>239</v>
      </c>
      <c r="AQ8" s="49" t="b">
        <v>1</v>
      </c>
      <c r="AR8" s="49">
        <v>5135</v>
      </c>
      <c r="EC8" s="49">
        <v>280.99900000000002</v>
      </c>
      <c r="EE8" s="51">
        <f t="shared" si="0"/>
        <v>1.0416666666666666E-2</v>
      </c>
    </row>
    <row r="9" spans="1:140" x14ac:dyDescent="0.25">
      <c r="A9" s="62" t="s">
        <v>435</v>
      </c>
      <c r="B9" s="57" t="s">
        <v>6</v>
      </c>
      <c r="C9" s="1" t="s">
        <v>12</v>
      </c>
      <c r="D9" s="1" t="s">
        <v>7</v>
      </c>
      <c r="E9" s="4" t="s">
        <v>336</v>
      </c>
      <c r="F9" s="17" t="s">
        <v>340</v>
      </c>
      <c r="G9" s="18" t="s">
        <v>426</v>
      </c>
      <c r="H9" s="18"/>
      <c r="I9" s="18"/>
      <c r="J9" s="1" t="s">
        <v>11</v>
      </c>
      <c r="K9" s="1" t="s">
        <v>13</v>
      </c>
      <c r="L9" s="1" t="s">
        <v>14</v>
      </c>
      <c r="M9" s="1" t="s">
        <v>15</v>
      </c>
      <c r="N9" s="1" t="s">
        <v>16</v>
      </c>
      <c r="O9" s="1" t="s">
        <v>17</v>
      </c>
      <c r="P9" s="1" t="s">
        <v>18</v>
      </c>
      <c r="Q9" s="1" t="s">
        <v>1</v>
      </c>
      <c r="R9" s="1" t="s">
        <v>2</v>
      </c>
      <c r="S9" s="1" t="s">
        <v>3</v>
      </c>
      <c r="T9" s="1" t="s">
        <v>4</v>
      </c>
      <c r="U9" s="1" t="s">
        <v>5</v>
      </c>
      <c r="V9" s="1" t="s">
        <v>19</v>
      </c>
      <c r="W9" s="1" t="s">
        <v>8</v>
      </c>
      <c r="X9" s="1" t="s">
        <v>9</v>
      </c>
      <c r="Y9" s="1" t="s">
        <v>10</v>
      </c>
      <c r="Z9" s="1" t="s">
        <v>20</v>
      </c>
      <c r="AA9" s="1" t="s">
        <v>21</v>
      </c>
      <c r="AB9" s="1" t="s">
        <v>22</v>
      </c>
      <c r="AC9" s="1" t="s">
        <v>23</v>
      </c>
      <c r="AD9" s="1" t="s">
        <v>24</v>
      </c>
      <c r="AE9" s="1" t="s">
        <v>25</v>
      </c>
      <c r="AF9" s="1" t="s">
        <v>26</v>
      </c>
      <c r="AG9" s="1" t="s">
        <v>27</v>
      </c>
      <c r="AH9" s="1" t="s">
        <v>28</v>
      </c>
      <c r="AI9" s="1" t="s">
        <v>29</v>
      </c>
      <c r="AJ9" s="1" t="s">
        <v>30</v>
      </c>
      <c r="AK9" s="1" t="s">
        <v>31</v>
      </c>
      <c r="AL9" s="1" t="s">
        <v>32</v>
      </c>
      <c r="AM9" s="1" t="s">
        <v>33</v>
      </c>
      <c r="AN9" s="1" t="s">
        <v>34</v>
      </c>
      <c r="AO9" s="1" t="s">
        <v>35</v>
      </c>
      <c r="AP9" s="1" t="s">
        <v>36</v>
      </c>
      <c r="AQ9" s="1" t="s">
        <v>219</v>
      </c>
      <c r="AR9" s="1" t="s">
        <v>0</v>
      </c>
      <c r="AS9" s="1" t="s">
        <v>43</v>
      </c>
      <c r="AT9" s="1" t="s">
        <v>44</v>
      </c>
      <c r="AU9" s="1" t="s">
        <v>45</v>
      </c>
      <c r="AV9" s="1" t="s">
        <v>46</v>
      </c>
      <c r="AW9" s="1" t="s">
        <v>47</v>
      </c>
      <c r="AX9" s="1" t="s">
        <v>48</v>
      </c>
      <c r="AY9" s="1" t="s">
        <v>49</v>
      </c>
      <c r="AZ9" s="1" t="s">
        <v>50</v>
      </c>
      <c r="BA9" s="1" t="s">
        <v>51</v>
      </c>
      <c r="BB9" s="1" t="s">
        <v>52</v>
      </c>
      <c r="BC9" s="1" t="s">
        <v>53</v>
      </c>
      <c r="BD9" s="1" t="s">
        <v>54</v>
      </c>
      <c r="BE9" s="1" t="s">
        <v>297</v>
      </c>
      <c r="BF9" s="1" t="s">
        <v>55</v>
      </c>
      <c r="BG9" s="1" t="s">
        <v>56</v>
      </c>
      <c r="BH9" s="1" t="s">
        <v>57</v>
      </c>
      <c r="BI9" s="1" t="s">
        <v>220</v>
      </c>
      <c r="BJ9" s="1" t="s">
        <v>58</v>
      </c>
      <c r="BK9" s="1" t="s">
        <v>59</v>
      </c>
      <c r="BL9" s="1" t="s">
        <v>221</v>
      </c>
      <c r="BM9" s="1" t="s">
        <v>60</v>
      </c>
      <c r="BN9" s="1" t="s">
        <v>61</v>
      </c>
      <c r="BO9" s="1" t="s">
        <v>62</v>
      </c>
      <c r="BP9" s="1" t="s">
        <v>63</v>
      </c>
      <c r="BQ9" s="1" t="s">
        <v>64</v>
      </c>
      <c r="BR9" s="1" t="s">
        <v>65</v>
      </c>
      <c r="BS9" s="1" t="s">
        <v>66</v>
      </c>
      <c r="BT9" s="1" t="s">
        <v>67</v>
      </c>
      <c r="BU9" s="1" t="s">
        <v>68</v>
      </c>
      <c r="BV9" s="1" t="s">
        <v>69</v>
      </c>
      <c r="BW9" s="1" t="s">
        <v>70</v>
      </c>
      <c r="BX9" s="1" t="s">
        <v>71</v>
      </c>
      <c r="BY9" s="1" t="s">
        <v>72</v>
      </c>
      <c r="BZ9" s="1" t="s">
        <v>73</v>
      </c>
      <c r="CA9" s="1" t="s">
        <v>74</v>
      </c>
      <c r="CB9" s="1" t="s">
        <v>75</v>
      </c>
      <c r="CC9" s="1" t="s">
        <v>223</v>
      </c>
      <c r="CD9" s="1" t="s">
        <v>76</v>
      </c>
      <c r="CE9" s="1" t="s">
        <v>77</v>
      </c>
      <c r="CF9" s="1" t="s">
        <v>78</v>
      </c>
      <c r="CG9" s="1" t="s">
        <v>79</v>
      </c>
      <c r="CH9" s="1" t="s">
        <v>80</v>
      </c>
      <c r="CI9" s="1" t="s">
        <v>81</v>
      </c>
      <c r="CJ9" s="1" t="s">
        <v>82</v>
      </c>
      <c r="CK9" s="1" t="s">
        <v>83</v>
      </c>
      <c r="CL9" s="1" t="s">
        <v>84</v>
      </c>
      <c r="CM9" s="1" t="s">
        <v>85</v>
      </c>
      <c r="CN9" s="1" t="s">
        <v>86</v>
      </c>
      <c r="CO9" s="1" t="s">
        <v>87</v>
      </c>
      <c r="CP9" s="1" t="s">
        <v>88</v>
      </c>
      <c r="CQ9" s="1" t="s">
        <v>89</v>
      </c>
      <c r="CR9" s="1" t="s">
        <v>91</v>
      </c>
      <c r="CS9" s="1" t="s">
        <v>92</v>
      </c>
      <c r="CT9" s="1" t="s">
        <v>93</v>
      </c>
      <c r="CU9" s="1" t="s">
        <v>94</v>
      </c>
      <c r="CV9" s="1" t="s">
        <v>95</v>
      </c>
      <c r="CW9" s="1" t="s">
        <v>96</v>
      </c>
      <c r="CX9" s="1" t="s">
        <v>97</v>
      </c>
      <c r="CY9" s="1" t="s">
        <v>224</v>
      </c>
      <c r="CZ9" s="1" t="s">
        <v>98</v>
      </c>
      <c r="DA9" s="1" t="s">
        <v>99</v>
      </c>
      <c r="DB9" s="1" t="s">
        <v>100</v>
      </c>
      <c r="DC9" s="1" t="s">
        <v>101</v>
      </c>
      <c r="DD9" s="1" t="s">
        <v>102</v>
      </c>
      <c r="DE9" s="1" t="s">
        <v>103</v>
      </c>
      <c r="DF9" s="1" t="s">
        <v>104</v>
      </c>
      <c r="DG9" s="1" t="s">
        <v>105</v>
      </c>
      <c r="DH9" s="1" t="s">
        <v>106</v>
      </c>
      <c r="DI9" s="1" t="s">
        <v>107</v>
      </c>
      <c r="DJ9" s="1" t="s">
        <v>108</v>
      </c>
      <c r="DK9" s="1" t="s">
        <v>109</v>
      </c>
      <c r="DL9" s="1" t="s">
        <v>110</v>
      </c>
      <c r="DM9" s="1" t="s">
        <v>111</v>
      </c>
      <c r="DN9" s="1" t="s">
        <v>112</v>
      </c>
      <c r="DO9" s="1" t="s">
        <v>113</v>
      </c>
      <c r="DP9" s="1" t="s">
        <v>115</v>
      </c>
      <c r="DQ9" s="1" t="s">
        <v>116</v>
      </c>
      <c r="DR9" s="1" t="s">
        <v>117</v>
      </c>
      <c r="DS9" s="1" t="s">
        <v>118</v>
      </c>
      <c r="DT9" s="1" t="s">
        <v>119</v>
      </c>
      <c r="DU9" s="1" t="s">
        <v>120</v>
      </c>
      <c r="DV9" s="1" t="s">
        <v>121</v>
      </c>
      <c r="DW9" s="1" t="s">
        <v>122</v>
      </c>
      <c r="DX9" s="1" t="s">
        <v>123</v>
      </c>
      <c r="DY9" s="1" t="s">
        <v>124</v>
      </c>
      <c r="DZ9" s="1" t="s">
        <v>125</v>
      </c>
      <c r="EA9" s="1" t="s">
        <v>126</v>
      </c>
      <c r="EB9" s="1" t="s">
        <v>127</v>
      </c>
      <c r="EC9" s="1" t="s">
        <v>128</v>
      </c>
      <c r="ED9" s="1" t="s">
        <v>129</v>
      </c>
      <c r="EE9" s="1" t="s">
        <v>131</v>
      </c>
      <c r="EF9" s="1" t="s">
        <v>132</v>
      </c>
      <c r="EG9" s="2" t="s">
        <v>336</v>
      </c>
    </row>
    <row r="10" spans="1:140" s="19" customFormat="1" x14ac:dyDescent="0.25">
      <c r="A10" s="59">
        <v>5849</v>
      </c>
      <c r="B10" s="19">
        <v>718.95240000000001</v>
      </c>
      <c r="C10" s="19">
        <v>218.55</v>
      </c>
      <c r="D10" s="19">
        <v>13.779</v>
      </c>
      <c r="E10" s="30">
        <v>0.16666666666666666</v>
      </c>
      <c r="F10" s="31" t="s">
        <v>437</v>
      </c>
      <c r="G10" s="31" t="s">
        <v>542</v>
      </c>
      <c r="H10" s="31" t="s">
        <v>538</v>
      </c>
      <c r="I10" s="31">
        <v>2</v>
      </c>
      <c r="J10" s="19">
        <v>29.716000000000001</v>
      </c>
      <c r="K10" s="19">
        <v>-1</v>
      </c>
      <c r="L10" s="19">
        <v>1</v>
      </c>
      <c r="M10" s="19">
        <v>18</v>
      </c>
      <c r="N10" s="19">
        <v>92.1</v>
      </c>
      <c r="P10" s="19" t="b">
        <v>0</v>
      </c>
      <c r="Q10" s="19" t="s">
        <v>225</v>
      </c>
      <c r="R10" s="19" t="s">
        <v>319</v>
      </c>
      <c r="V10" s="19" t="s">
        <v>240</v>
      </c>
      <c r="X10" s="19" t="s">
        <v>228</v>
      </c>
      <c r="Y10" s="19" t="s">
        <v>137</v>
      </c>
      <c r="Z10" s="19">
        <v>719</v>
      </c>
      <c r="AA10" s="19">
        <v>-4.7599999999988499E-2</v>
      </c>
      <c r="AB10" s="19">
        <v>718.99832328570596</v>
      </c>
      <c r="AC10" s="19">
        <v>719</v>
      </c>
      <c r="AD10" s="19">
        <v>-1.6767142936942E-3</v>
      </c>
      <c r="AE10" s="19">
        <v>35</v>
      </c>
      <c r="AF10" s="19">
        <v>3</v>
      </c>
      <c r="AG10" s="19">
        <v>3</v>
      </c>
      <c r="AH10" s="19" t="b">
        <v>1</v>
      </c>
      <c r="AI10" s="19" t="s">
        <v>142</v>
      </c>
      <c r="AJ10" s="19" t="s">
        <v>143</v>
      </c>
      <c r="AK10" s="19" t="b">
        <v>0</v>
      </c>
      <c r="AL10" s="19" t="b">
        <v>1</v>
      </c>
      <c r="AM10" s="19" t="b">
        <v>1</v>
      </c>
      <c r="AN10" s="19" t="b">
        <v>0</v>
      </c>
      <c r="AO10" s="19" t="s">
        <v>225</v>
      </c>
      <c r="AP10" s="19" t="s">
        <v>228</v>
      </c>
      <c r="AQ10" s="19" t="b">
        <v>0</v>
      </c>
      <c r="AR10" s="19">
        <v>5849</v>
      </c>
      <c r="BA10" s="19">
        <v>66.987780000000001</v>
      </c>
      <c r="BF10" s="19">
        <v>194.98779999999999</v>
      </c>
      <c r="BJ10" s="19">
        <v>97.987780000000001</v>
      </c>
      <c r="BN10" s="19">
        <v>88.987780000000001</v>
      </c>
      <c r="BX10" s="19">
        <v>50.987780000000001</v>
      </c>
      <c r="CH10" s="19">
        <v>17.987780000000001</v>
      </c>
      <c r="CJ10" s="19">
        <v>32.987780000000001</v>
      </c>
      <c r="CL10" s="19">
        <v>80.987783899999997</v>
      </c>
      <c r="CR10" s="19">
        <v>184.98779999999999</v>
      </c>
      <c r="CU10" s="19">
        <v>117.98779999999999</v>
      </c>
      <c r="CV10" s="19">
        <v>178.98779999999999</v>
      </c>
      <c r="DD10" s="19">
        <v>51.987780000000001</v>
      </c>
      <c r="DF10" s="19">
        <v>12.987780000000001</v>
      </c>
      <c r="DI10" s="19">
        <v>8.9877839999999996</v>
      </c>
      <c r="DN10" s="19">
        <v>85.987780000000001</v>
      </c>
      <c r="DP10" s="19">
        <v>31.987780000000001</v>
      </c>
      <c r="EG10" s="30">
        <f>COUNT(AS10:EF10)/96</f>
        <v>0.16666666666666666</v>
      </c>
    </row>
    <row r="11" spans="1:140" s="24" customFormat="1" ht="45" x14ac:dyDescent="0.25">
      <c r="A11" s="60">
        <v>2857</v>
      </c>
      <c r="B11" s="24">
        <v>564.91869999999994</v>
      </c>
      <c r="C11" s="24">
        <v>181.89</v>
      </c>
      <c r="D11" s="24">
        <v>11.356</v>
      </c>
      <c r="E11" s="25">
        <v>4.1666666666666664E-2</v>
      </c>
      <c r="F11" s="26" t="s">
        <v>461</v>
      </c>
      <c r="G11" s="26" t="s">
        <v>484</v>
      </c>
      <c r="H11" s="26" t="s">
        <v>483</v>
      </c>
      <c r="I11" s="26">
        <v>2</v>
      </c>
      <c r="J11" s="24">
        <v>24.603000000000002</v>
      </c>
      <c r="K11" s="24">
        <v>-1</v>
      </c>
      <c r="L11" s="24">
        <v>1</v>
      </c>
      <c r="M11" s="24">
        <v>29</v>
      </c>
      <c r="N11" s="24">
        <v>99.3</v>
      </c>
      <c r="P11" s="24" t="b">
        <v>0</v>
      </c>
      <c r="Q11" s="24" t="s">
        <v>237</v>
      </c>
      <c r="R11" s="24" t="s">
        <v>192</v>
      </c>
      <c r="V11" s="24" t="s">
        <v>240</v>
      </c>
      <c r="X11" s="24" t="s">
        <v>239</v>
      </c>
      <c r="Y11" s="24" t="s">
        <v>137</v>
      </c>
      <c r="Z11" s="24">
        <v>565</v>
      </c>
      <c r="AA11" s="24">
        <v>-8.1300000000055703E-2</v>
      </c>
      <c r="AB11" s="24">
        <v>564.954784340022</v>
      </c>
      <c r="AC11" s="24">
        <v>565</v>
      </c>
      <c r="AD11" s="24">
        <v>-4.5215659978452998E-2</v>
      </c>
      <c r="AE11" s="24">
        <v>34</v>
      </c>
      <c r="AF11" s="24">
        <v>9</v>
      </c>
      <c r="AG11" s="24">
        <v>3</v>
      </c>
      <c r="AH11" s="24" t="b">
        <v>1</v>
      </c>
      <c r="AI11" s="24" t="s">
        <v>142</v>
      </c>
      <c r="AJ11" s="24" t="s">
        <v>143</v>
      </c>
      <c r="AK11" s="24" t="b">
        <v>0</v>
      </c>
      <c r="AL11" s="24" t="b">
        <v>1</v>
      </c>
      <c r="AM11" s="24" t="b">
        <v>1</v>
      </c>
      <c r="AN11" s="24" t="b">
        <v>0</v>
      </c>
      <c r="AO11" s="24" t="s">
        <v>237</v>
      </c>
      <c r="AP11" s="24" t="s">
        <v>239</v>
      </c>
      <c r="AQ11" s="24" t="b">
        <v>0</v>
      </c>
      <c r="AR11" s="24">
        <v>2857</v>
      </c>
      <c r="AV11" s="24">
        <v>126.2032</v>
      </c>
      <c r="BJ11" s="24">
        <v>220.20320000000001</v>
      </c>
      <c r="BY11" s="24">
        <v>127.2032</v>
      </c>
      <c r="CF11" s="24">
        <v>314.20319999999998</v>
      </c>
      <c r="EG11" s="25">
        <f>COUNT(AS11:EF11)/96</f>
        <v>4.1666666666666664E-2</v>
      </c>
    </row>
    <row r="12" spans="1:140" x14ac:dyDescent="0.25">
      <c r="A12" s="69">
        <v>3511</v>
      </c>
      <c r="B12">
        <v>207.04220000000001</v>
      </c>
      <c r="C12">
        <v>145.44</v>
      </c>
      <c r="D12">
        <v>3.4550000000000001</v>
      </c>
      <c r="E12" s="3">
        <v>2.0833333333333332E-2</v>
      </c>
      <c r="F12" s="16" t="s">
        <v>445</v>
      </c>
      <c r="J12">
        <v>18.914999999999999</v>
      </c>
      <c r="K12">
        <v>-1</v>
      </c>
      <c r="L12">
        <v>1</v>
      </c>
      <c r="M12">
        <v>23</v>
      </c>
      <c r="N12">
        <v>99.7</v>
      </c>
      <c r="P12" t="b">
        <v>0</v>
      </c>
      <c r="Q12" t="s">
        <v>237</v>
      </c>
      <c r="R12" t="s">
        <v>193</v>
      </c>
      <c r="V12" t="s">
        <v>240</v>
      </c>
      <c r="X12" t="s">
        <v>239</v>
      </c>
      <c r="Y12" t="s">
        <v>137</v>
      </c>
      <c r="Z12">
        <v>207</v>
      </c>
      <c r="AA12">
        <v>4.2200000000008203E-2</v>
      </c>
      <c r="AB12">
        <v>207.05542487845401</v>
      </c>
      <c r="AC12">
        <v>207</v>
      </c>
      <c r="AD12">
        <v>5.54248784535218E-2</v>
      </c>
      <c r="AE12">
        <v>41</v>
      </c>
      <c r="AF12">
        <v>19</v>
      </c>
      <c r="AG12">
        <v>3</v>
      </c>
      <c r="AH12" t="b">
        <v>1</v>
      </c>
      <c r="AI12" t="s">
        <v>142</v>
      </c>
      <c r="AJ12" t="s">
        <v>143</v>
      </c>
      <c r="AK12" t="b">
        <v>0</v>
      </c>
      <c r="AL12" t="b">
        <v>1</v>
      </c>
      <c r="AM12" t="b">
        <v>1</v>
      </c>
      <c r="AN12" t="b">
        <v>0</v>
      </c>
      <c r="AO12" t="s">
        <v>237</v>
      </c>
      <c r="AP12" t="s">
        <v>239</v>
      </c>
      <c r="AQ12" t="b">
        <v>0</v>
      </c>
      <c r="AR12">
        <v>3511</v>
      </c>
      <c r="AS12">
        <v>175.30510000000001</v>
      </c>
      <c r="BJ12">
        <v>58.305120000000002</v>
      </c>
      <c r="EG12" s="3">
        <f>COUNT(AS12:EF12)/96</f>
        <v>2.0833333333333332E-2</v>
      </c>
    </row>
    <row r="13" spans="1:140" x14ac:dyDescent="0.25">
      <c r="A13" s="69">
        <v>1159</v>
      </c>
      <c r="B13">
        <v>229.0549</v>
      </c>
      <c r="C13">
        <v>151.66999999999999</v>
      </c>
      <c r="D13">
        <v>5.9269999999999996</v>
      </c>
      <c r="E13" s="3">
        <v>2.0833333333333332E-2</v>
      </c>
      <c r="F13" s="16" t="s">
        <v>445</v>
      </c>
      <c r="J13">
        <v>19.841999999999999</v>
      </c>
      <c r="K13">
        <v>-1</v>
      </c>
      <c r="L13">
        <v>3</v>
      </c>
      <c r="M13">
        <v>14</v>
      </c>
      <c r="N13">
        <v>100</v>
      </c>
      <c r="P13" t="b">
        <v>0</v>
      </c>
      <c r="Q13" t="s">
        <v>237</v>
      </c>
      <c r="R13" t="s">
        <v>205</v>
      </c>
      <c r="V13" t="s">
        <v>240</v>
      </c>
      <c r="X13" t="s">
        <v>239</v>
      </c>
      <c r="Y13" t="s">
        <v>137</v>
      </c>
      <c r="Z13">
        <v>229</v>
      </c>
      <c r="AA13">
        <v>5.4900000000003502E-2</v>
      </c>
      <c r="AB13">
        <v>229.06953094582499</v>
      </c>
      <c r="AC13">
        <v>229</v>
      </c>
      <c r="AD13">
        <v>6.9530945824965301E-2</v>
      </c>
      <c r="AE13">
        <v>39</v>
      </c>
      <c r="AF13">
        <v>12</v>
      </c>
      <c r="AG13">
        <v>3</v>
      </c>
      <c r="AH13" t="b">
        <v>1</v>
      </c>
      <c r="AI13" t="s">
        <v>142</v>
      </c>
      <c r="AJ13" t="s">
        <v>165</v>
      </c>
      <c r="AK13" t="b">
        <v>0</v>
      </c>
      <c r="AL13" t="b">
        <v>1</v>
      </c>
      <c r="AM13" t="b">
        <v>1</v>
      </c>
      <c r="AN13" t="b">
        <v>0</v>
      </c>
      <c r="AO13" t="s">
        <v>237</v>
      </c>
      <c r="AP13" t="s">
        <v>239</v>
      </c>
      <c r="AQ13" t="b">
        <v>0</v>
      </c>
      <c r="AR13">
        <v>1159</v>
      </c>
      <c r="BO13">
        <v>453.99900000000002</v>
      </c>
      <c r="CI13">
        <v>3816.9989999999998</v>
      </c>
      <c r="EG13" s="3">
        <f>COUNT(AS13:EF13)/96</f>
        <v>2.0833333333333332E-2</v>
      </c>
    </row>
    <row r="14" spans="1:140" x14ac:dyDescent="0.25">
      <c r="A14" s="69">
        <v>331</v>
      </c>
      <c r="B14">
        <v>323.08960000000002</v>
      </c>
      <c r="C14">
        <v>169.39</v>
      </c>
      <c r="D14">
        <v>3.4620000000000002</v>
      </c>
      <c r="E14" s="3">
        <v>1.0416666666666666E-2</v>
      </c>
      <c r="F14" s="16" t="s">
        <v>445</v>
      </c>
      <c r="J14">
        <v>22.521999999999998</v>
      </c>
      <c r="K14">
        <v>-1</v>
      </c>
      <c r="L14">
        <v>2</v>
      </c>
      <c r="M14">
        <v>106</v>
      </c>
      <c r="N14">
        <v>100</v>
      </c>
      <c r="P14" t="b">
        <v>0</v>
      </c>
      <c r="Q14" t="s">
        <v>237</v>
      </c>
      <c r="R14" t="s">
        <v>299</v>
      </c>
      <c r="V14" t="s">
        <v>240</v>
      </c>
      <c r="X14" t="s">
        <v>239</v>
      </c>
      <c r="Y14" t="s">
        <v>137</v>
      </c>
      <c r="Z14">
        <v>323</v>
      </c>
      <c r="AA14">
        <v>8.9600000000018595E-2</v>
      </c>
      <c r="AB14">
        <v>323.11023743859698</v>
      </c>
      <c r="AC14">
        <v>323</v>
      </c>
      <c r="AD14">
        <v>0.11023743859749401</v>
      </c>
      <c r="AE14">
        <v>47</v>
      </c>
      <c r="AF14">
        <v>51</v>
      </c>
      <c r="AG14">
        <v>3</v>
      </c>
      <c r="AH14" t="b">
        <v>1</v>
      </c>
      <c r="AI14" t="s">
        <v>212</v>
      </c>
      <c r="AJ14" t="s">
        <v>143</v>
      </c>
      <c r="AK14" t="b">
        <v>0</v>
      </c>
      <c r="AL14" t="b">
        <v>1</v>
      </c>
      <c r="AM14" t="b">
        <v>1</v>
      </c>
      <c r="AN14" t="b">
        <v>0</v>
      </c>
      <c r="AO14" t="s">
        <v>237</v>
      </c>
      <c r="AP14" t="s">
        <v>239</v>
      </c>
      <c r="AQ14" t="b">
        <v>0</v>
      </c>
      <c r="AR14">
        <v>331</v>
      </c>
      <c r="DT14">
        <v>100.923</v>
      </c>
      <c r="EG14" s="3">
        <f>COUNT(AS14:EF14)/96</f>
        <v>1.0416666666666666E-2</v>
      </c>
    </row>
    <row r="15" spans="1:140" x14ac:dyDescent="0.25">
      <c r="A15" s="62" t="s">
        <v>337</v>
      </c>
      <c r="B15" s="57" t="s">
        <v>6</v>
      </c>
      <c r="C15" s="1" t="s">
        <v>12</v>
      </c>
      <c r="D15" s="1" t="s">
        <v>7</v>
      </c>
      <c r="E15" s="8" t="s">
        <v>336</v>
      </c>
      <c r="F15" s="18" t="s">
        <v>340</v>
      </c>
      <c r="G15" s="18" t="s">
        <v>426</v>
      </c>
      <c r="H15" s="18"/>
      <c r="I15" s="18"/>
      <c r="J15" s="1" t="s">
        <v>11</v>
      </c>
      <c r="K15" s="1" t="s">
        <v>13</v>
      </c>
      <c r="L15" s="1" t="s">
        <v>14</v>
      </c>
      <c r="M15" s="1" t="s">
        <v>15</v>
      </c>
      <c r="N15" s="1" t="s">
        <v>16</v>
      </c>
      <c r="O15" s="1" t="s">
        <v>17</v>
      </c>
      <c r="P15" s="1" t="s">
        <v>18</v>
      </c>
      <c r="Q15" s="1" t="s">
        <v>1</v>
      </c>
      <c r="R15" s="1" t="s">
        <v>2</v>
      </c>
      <c r="S15" s="1" t="s">
        <v>3</v>
      </c>
      <c r="T15" s="1" t="s">
        <v>4</v>
      </c>
      <c r="U15" s="1" t="s">
        <v>5</v>
      </c>
      <c r="V15" s="1" t="s">
        <v>19</v>
      </c>
      <c r="W15" s="1" t="s">
        <v>8</v>
      </c>
      <c r="X15" s="1" t="s">
        <v>9</v>
      </c>
      <c r="Y15" s="1" t="s">
        <v>10</v>
      </c>
      <c r="Z15" s="1" t="s">
        <v>20</v>
      </c>
      <c r="AA15" s="1" t="s">
        <v>21</v>
      </c>
      <c r="AB15" s="1" t="s">
        <v>22</v>
      </c>
      <c r="AC15" s="1" t="s">
        <v>23</v>
      </c>
      <c r="AD15" s="1" t="s">
        <v>24</v>
      </c>
      <c r="AE15" s="1" t="s">
        <v>25</v>
      </c>
      <c r="AF15" s="1" t="s">
        <v>26</v>
      </c>
      <c r="AG15" s="1" t="s">
        <v>27</v>
      </c>
      <c r="AH15" s="1" t="s">
        <v>28</v>
      </c>
      <c r="AI15" s="1" t="s">
        <v>29</v>
      </c>
      <c r="AJ15" s="1" t="s">
        <v>30</v>
      </c>
      <c r="AK15" s="1" t="s">
        <v>31</v>
      </c>
      <c r="AL15" s="1" t="s">
        <v>32</v>
      </c>
      <c r="AM15" s="1" t="s">
        <v>33</v>
      </c>
      <c r="AN15" s="1" t="s">
        <v>34</v>
      </c>
      <c r="AO15" s="1" t="s">
        <v>35</v>
      </c>
      <c r="AP15" s="1" t="s">
        <v>36</v>
      </c>
      <c r="AQ15" s="1" t="s">
        <v>37</v>
      </c>
      <c r="AR15" s="1" t="s">
        <v>38</v>
      </c>
      <c r="AS15" s="1" t="s">
        <v>39</v>
      </c>
      <c r="AT15" s="1" t="s">
        <v>40</v>
      </c>
      <c r="AU15" s="1" t="s">
        <v>41</v>
      </c>
      <c r="AV15" s="1" t="s">
        <v>42</v>
      </c>
      <c r="AW15" s="1" t="s">
        <v>0</v>
      </c>
      <c r="AX15" s="1" t="s">
        <v>43</v>
      </c>
      <c r="AY15" s="1" t="s">
        <v>44</v>
      </c>
      <c r="AZ15" s="1" t="s">
        <v>45</v>
      </c>
      <c r="BA15" s="1" t="s">
        <v>46</v>
      </c>
      <c r="BB15" s="1" t="s">
        <v>47</v>
      </c>
      <c r="BC15" s="1" t="s">
        <v>48</v>
      </c>
      <c r="BD15" s="1" t="s">
        <v>49</v>
      </c>
      <c r="BE15" s="1" t="s">
        <v>50</v>
      </c>
      <c r="BF15" s="1" t="s">
        <v>51</v>
      </c>
      <c r="BG15" s="1" t="s">
        <v>52</v>
      </c>
      <c r="BH15" s="1" t="s">
        <v>53</v>
      </c>
      <c r="BI15" s="1" t="s">
        <v>54</v>
      </c>
      <c r="BJ15" s="1" t="s">
        <v>55</v>
      </c>
      <c r="BK15" s="1" t="s">
        <v>56</v>
      </c>
      <c r="BL15" s="1" t="s">
        <v>57</v>
      </c>
      <c r="BM15" s="1" t="s">
        <v>58</v>
      </c>
      <c r="BN15" s="1" t="s">
        <v>59</v>
      </c>
      <c r="BO15" s="1" t="s">
        <v>60</v>
      </c>
      <c r="BP15" s="1" t="s">
        <v>61</v>
      </c>
      <c r="BQ15" s="1" t="s">
        <v>62</v>
      </c>
      <c r="BR15" s="1" t="s">
        <v>63</v>
      </c>
      <c r="BS15" s="1" t="s">
        <v>64</v>
      </c>
      <c r="BT15" s="1" t="s">
        <v>65</v>
      </c>
      <c r="BU15" s="1" t="s">
        <v>66</v>
      </c>
      <c r="BV15" s="1" t="s">
        <v>67</v>
      </c>
      <c r="BW15" s="1" t="s">
        <v>68</v>
      </c>
      <c r="BX15" s="1" t="s">
        <v>69</v>
      </c>
      <c r="BY15" s="1" t="s">
        <v>70</v>
      </c>
      <c r="BZ15" s="1" t="s">
        <v>71</v>
      </c>
      <c r="CA15" s="1" t="s">
        <v>72</v>
      </c>
      <c r="CB15" s="1" t="s">
        <v>73</v>
      </c>
      <c r="CC15" s="1" t="s">
        <v>74</v>
      </c>
      <c r="CD15" s="1" t="s">
        <v>75</v>
      </c>
      <c r="CE15" s="1" t="s">
        <v>76</v>
      </c>
      <c r="CF15" s="1" t="s">
        <v>77</v>
      </c>
      <c r="CG15" s="1" t="s">
        <v>78</v>
      </c>
      <c r="CH15" s="1" t="s">
        <v>79</v>
      </c>
      <c r="CI15" s="1" t="s">
        <v>80</v>
      </c>
      <c r="CJ15" s="1" t="s">
        <v>81</v>
      </c>
      <c r="CK15" s="1" t="s">
        <v>82</v>
      </c>
      <c r="CL15" s="1" t="s">
        <v>83</v>
      </c>
      <c r="CM15" s="1" t="s">
        <v>84</v>
      </c>
      <c r="CN15" s="1" t="s">
        <v>85</v>
      </c>
      <c r="CO15" s="1" t="s">
        <v>86</v>
      </c>
      <c r="CP15" s="1" t="s">
        <v>87</v>
      </c>
      <c r="CQ15" s="1" t="s">
        <v>88</v>
      </c>
      <c r="CR15" s="1" t="s">
        <v>89</v>
      </c>
      <c r="CS15" s="1" t="s">
        <v>90</v>
      </c>
      <c r="CT15" s="1" t="s">
        <v>91</v>
      </c>
      <c r="CU15" s="1" t="s">
        <v>92</v>
      </c>
      <c r="CV15" s="1" t="s">
        <v>93</v>
      </c>
      <c r="CW15" s="1" t="s">
        <v>94</v>
      </c>
      <c r="CX15" s="1" t="s">
        <v>95</v>
      </c>
      <c r="CY15" s="1" t="s">
        <v>96</v>
      </c>
      <c r="CZ15" s="1" t="s">
        <v>97</v>
      </c>
      <c r="DA15" s="1" t="s">
        <v>98</v>
      </c>
      <c r="DB15" s="1" t="s">
        <v>99</v>
      </c>
      <c r="DC15" s="1" t="s">
        <v>100</v>
      </c>
      <c r="DD15" s="1" t="s">
        <v>101</v>
      </c>
      <c r="DE15" s="1" t="s">
        <v>102</v>
      </c>
      <c r="DF15" s="1" t="s">
        <v>103</v>
      </c>
      <c r="DG15" s="1" t="s">
        <v>104</v>
      </c>
      <c r="DH15" s="1" t="s">
        <v>105</v>
      </c>
      <c r="DI15" s="1" t="s">
        <v>106</v>
      </c>
      <c r="DJ15" s="1" t="s">
        <v>107</v>
      </c>
      <c r="DK15" s="1" t="s">
        <v>108</v>
      </c>
      <c r="DL15" s="1" t="s">
        <v>109</v>
      </c>
      <c r="DM15" s="1" t="s">
        <v>110</v>
      </c>
      <c r="DN15" s="1" t="s">
        <v>111</v>
      </c>
      <c r="DO15" s="1" t="s">
        <v>112</v>
      </c>
      <c r="DP15" s="1" t="s">
        <v>113</v>
      </c>
      <c r="DQ15" s="1" t="s">
        <v>114</v>
      </c>
      <c r="DR15" s="1" t="s">
        <v>115</v>
      </c>
      <c r="DS15" s="1" t="s">
        <v>116</v>
      </c>
      <c r="DT15" s="1" t="s">
        <v>117</v>
      </c>
      <c r="DU15" s="1" t="s">
        <v>118</v>
      </c>
      <c r="DV15" s="1" t="s">
        <v>119</v>
      </c>
      <c r="DW15" s="1" t="s">
        <v>120</v>
      </c>
      <c r="DX15" s="1" t="s">
        <v>121</v>
      </c>
      <c r="DY15" s="1" t="s">
        <v>122</v>
      </c>
      <c r="DZ15" s="1" t="s">
        <v>123</v>
      </c>
      <c r="EA15" s="1" t="s">
        <v>124</v>
      </c>
      <c r="EB15" s="1" t="s">
        <v>125</v>
      </c>
      <c r="EC15" s="1" t="s">
        <v>126</v>
      </c>
      <c r="ED15" s="1" t="s">
        <v>127</v>
      </c>
      <c r="EE15" s="1" t="s">
        <v>128</v>
      </c>
      <c r="EF15" s="1" t="s">
        <v>129</v>
      </c>
      <c r="EG15" s="1" t="s">
        <v>130</v>
      </c>
      <c r="EH15" s="1" t="s">
        <v>131</v>
      </c>
      <c r="EI15" s="1" t="s">
        <v>132</v>
      </c>
      <c r="EJ15" s="2" t="s">
        <v>336</v>
      </c>
    </row>
    <row r="16" spans="1:140" s="46" customFormat="1" x14ac:dyDescent="0.25">
      <c r="A16" s="64">
        <v>2130</v>
      </c>
      <c r="B16" s="46">
        <v>562.95360000000005</v>
      </c>
      <c r="C16" s="46">
        <v>181.61</v>
      </c>
      <c r="D16" s="46">
        <v>11.711</v>
      </c>
      <c r="E16" s="47">
        <v>0.32291666666666669</v>
      </c>
      <c r="F16" s="48" t="s">
        <v>462</v>
      </c>
      <c r="G16" s="48"/>
      <c r="H16" s="48" t="s">
        <v>549</v>
      </c>
      <c r="I16" s="48">
        <v>3</v>
      </c>
      <c r="J16" s="46">
        <v>24.565000000000001</v>
      </c>
      <c r="K16" s="46">
        <v>-1</v>
      </c>
      <c r="L16" s="46">
        <v>1</v>
      </c>
      <c r="M16" s="46">
        <v>34</v>
      </c>
      <c r="N16" s="46">
        <v>99</v>
      </c>
      <c r="P16" s="46" t="b">
        <v>0</v>
      </c>
      <c r="Q16" s="46" t="s">
        <v>180</v>
      </c>
      <c r="R16" s="46" t="s">
        <v>181</v>
      </c>
      <c r="S16" s="46" t="s">
        <v>190</v>
      </c>
      <c r="T16" s="46" t="s">
        <v>177</v>
      </c>
      <c r="U16" s="46" t="s">
        <v>178</v>
      </c>
      <c r="V16" s="46" t="s">
        <v>191</v>
      </c>
      <c r="W16" s="46" t="s">
        <v>137</v>
      </c>
      <c r="X16" s="46" t="s">
        <v>185</v>
      </c>
      <c r="Y16" s="46" t="s">
        <v>139</v>
      </c>
      <c r="Z16" s="46">
        <v>563</v>
      </c>
      <c r="AA16" s="46">
        <v>-4.6399999999948698E-2</v>
      </c>
      <c r="AB16" s="46">
        <v>562.98955881870904</v>
      </c>
      <c r="AC16" s="46">
        <v>563</v>
      </c>
      <c r="AD16" s="46">
        <v>-1.04411812907301E-2</v>
      </c>
      <c r="AE16" s="46">
        <v>37</v>
      </c>
      <c r="AF16" s="46">
        <v>0</v>
      </c>
      <c r="AG16" s="46">
        <v>0</v>
      </c>
      <c r="AH16" s="46" t="b">
        <v>1</v>
      </c>
      <c r="AK16" s="46" t="b">
        <v>1</v>
      </c>
      <c r="AL16" s="46" t="b">
        <v>0</v>
      </c>
      <c r="AM16" s="46" t="b">
        <v>0</v>
      </c>
      <c r="AN16" s="46" t="b">
        <v>0</v>
      </c>
      <c r="AO16" s="46" t="s">
        <v>180</v>
      </c>
      <c r="AP16" s="46" t="s">
        <v>185</v>
      </c>
      <c r="AV16" s="46" t="s">
        <v>144</v>
      </c>
      <c r="AW16" s="46">
        <v>2130</v>
      </c>
      <c r="BA16" s="46">
        <v>118.70959999999999</v>
      </c>
      <c r="BD16" s="46">
        <v>325.70960000000002</v>
      </c>
      <c r="BG16" s="46">
        <v>81.709590000000006</v>
      </c>
      <c r="BN16" s="46">
        <v>98.709590000000006</v>
      </c>
      <c r="BO16" s="46">
        <v>28.7095868</v>
      </c>
      <c r="BV16" s="46">
        <v>157.70959999999999</v>
      </c>
      <c r="BY16" s="46">
        <v>89.709590000000006</v>
      </c>
      <c r="CA16" s="46">
        <v>301.70960000000002</v>
      </c>
      <c r="CE16" s="46">
        <v>43.709589999999999</v>
      </c>
      <c r="CF16" s="46">
        <v>218.70959999999999</v>
      </c>
      <c r="CG16" s="46">
        <v>248.70959999999999</v>
      </c>
      <c r="CI16" s="46">
        <v>71.709590000000006</v>
      </c>
      <c r="CK16" s="46">
        <v>51.709589999999999</v>
      </c>
      <c r="CR16" s="46">
        <v>20.709589999999999</v>
      </c>
      <c r="CT16" s="46">
        <v>221.70959999999999</v>
      </c>
      <c r="CU16" s="46">
        <v>202.70959999999999</v>
      </c>
      <c r="CV16" s="46">
        <v>176.70959999999999</v>
      </c>
      <c r="CW16" s="46">
        <v>314.70960000000002</v>
      </c>
      <c r="CX16" s="46">
        <v>429.70960000000002</v>
      </c>
      <c r="CY16" s="46">
        <v>205.70959999999999</v>
      </c>
      <c r="DC16" s="46">
        <v>145.70959999999999</v>
      </c>
      <c r="DE16" s="46">
        <v>346.70960000000002</v>
      </c>
      <c r="DF16" s="46">
        <v>87.709590000000006</v>
      </c>
      <c r="DI16" s="46">
        <v>78.709590000000006</v>
      </c>
      <c r="DJ16" s="46">
        <v>230.70959999999999</v>
      </c>
      <c r="DL16" s="46">
        <v>391.70960000000002</v>
      </c>
      <c r="DN16" s="46">
        <v>658.70960000000002</v>
      </c>
      <c r="DO16" s="46">
        <v>104.70959999999999</v>
      </c>
      <c r="DP16" s="46">
        <v>143.70959999999999</v>
      </c>
      <c r="DV16" s="46">
        <v>105.70959999999999</v>
      </c>
      <c r="DY16" s="46">
        <v>76.709586799999997</v>
      </c>
      <c r="EJ16" s="47">
        <v>0.32291666666666669</v>
      </c>
    </row>
    <row r="17" spans="1:140" s="46" customFormat="1" x14ac:dyDescent="0.25">
      <c r="A17" s="64">
        <v>747</v>
      </c>
      <c r="B17" s="46">
        <v>518.96579999999994</v>
      </c>
      <c r="C17" s="46">
        <v>164.83</v>
      </c>
      <c r="D17" s="46">
        <v>11.804</v>
      </c>
      <c r="E17" s="47">
        <v>0.19791666666666666</v>
      </c>
      <c r="F17" s="48" t="s">
        <v>434</v>
      </c>
      <c r="G17" s="48"/>
      <c r="H17" s="48" t="s">
        <v>549</v>
      </c>
      <c r="I17" s="48">
        <v>3</v>
      </c>
      <c r="J17" s="46">
        <v>22.257000000000001</v>
      </c>
      <c r="K17" s="46">
        <v>-1</v>
      </c>
      <c r="L17" s="46">
        <v>2</v>
      </c>
      <c r="M17" s="46">
        <v>48</v>
      </c>
      <c r="N17" s="46">
        <v>100</v>
      </c>
      <c r="P17" s="46" t="b">
        <v>0</v>
      </c>
      <c r="Q17" s="46" t="s">
        <v>133</v>
      </c>
      <c r="R17" s="46" t="s">
        <v>192</v>
      </c>
      <c r="S17" s="46" t="s">
        <v>176</v>
      </c>
      <c r="T17" s="46" t="s">
        <v>177</v>
      </c>
      <c r="U17" s="46" t="s">
        <v>178</v>
      </c>
      <c r="V17" s="46" t="s">
        <v>179</v>
      </c>
      <c r="W17" s="46" t="s">
        <v>137</v>
      </c>
      <c r="X17" s="46" t="s">
        <v>138</v>
      </c>
      <c r="Y17" s="46" t="s">
        <v>139</v>
      </c>
      <c r="Z17" s="46">
        <v>519</v>
      </c>
      <c r="AA17" s="46">
        <v>-3.4200000000055297E-2</v>
      </c>
      <c r="AB17" s="46">
        <v>518.99894908567705</v>
      </c>
      <c r="AC17" s="46">
        <v>519</v>
      </c>
      <c r="AD17" s="46">
        <v>-1.0509143231728999E-3</v>
      </c>
      <c r="AE17" s="46">
        <v>27</v>
      </c>
      <c r="AF17" s="46">
        <v>9</v>
      </c>
      <c r="AG17" s="46">
        <v>2</v>
      </c>
      <c r="AH17" s="46" t="b">
        <v>1</v>
      </c>
      <c r="AI17" s="46" t="s">
        <v>142</v>
      </c>
      <c r="AJ17" s="46" t="s">
        <v>165</v>
      </c>
      <c r="AK17" s="46" t="b">
        <v>1</v>
      </c>
      <c r="AL17" s="46" t="b">
        <v>1</v>
      </c>
      <c r="AM17" s="46" t="b">
        <v>0</v>
      </c>
      <c r="AN17" s="46" t="b">
        <v>0</v>
      </c>
      <c r="AO17" s="46" t="s">
        <v>133</v>
      </c>
      <c r="AP17" s="46" t="s">
        <v>138</v>
      </c>
      <c r="AV17" s="46" t="s">
        <v>144</v>
      </c>
      <c r="AW17" s="46">
        <v>747</v>
      </c>
      <c r="AZ17" s="46">
        <v>59.855510000000002</v>
      </c>
      <c r="BD17" s="46">
        <v>357.85550000000001</v>
      </c>
      <c r="BE17" s="46">
        <v>103.85550000000001</v>
      </c>
      <c r="BF17" s="46">
        <v>750.85550000000001</v>
      </c>
      <c r="BL17" s="46">
        <v>488.85550000000001</v>
      </c>
      <c r="BM17" s="46">
        <v>498.85550000000001</v>
      </c>
      <c r="CA17" s="46">
        <v>275.85550000000001</v>
      </c>
      <c r="CG17" s="46">
        <v>413.85550000000001</v>
      </c>
      <c r="CU17" s="46">
        <v>904.85550000000001</v>
      </c>
      <c r="CV17" s="46">
        <v>267.85550000000001</v>
      </c>
      <c r="CW17" s="46">
        <v>516.85550000000001</v>
      </c>
      <c r="CX17" s="46">
        <v>1063.856</v>
      </c>
      <c r="CY17" s="46">
        <v>145.85550000000001</v>
      </c>
      <c r="DE17" s="46">
        <v>587.85550000000001</v>
      </c>
      <c r="DF17" s="46">
        <v>221.85550000000001</v>
      </c>
      <c r="DJ17" s="46">
        <v>125.85550000000001</v>
      </c>
      <c r="DL17" s="46">
        <v>644.85550000000001</v>
      </c>
      <c r="DN17" s="46">
        <v>439.85550000000001</v>
      </c>
      <c r="EE17" s="46">
        <v>352.85550000000001</v>
      </c>
      <c r="EJ17" s="47">
        <v>0.19791666666666666</v>
      </c>
    </row>
    <row r="18" spans="1:140" s="11" customFormat="1" ht="38.25" customHeight="1" x14ac:dyDescent="0.25">
      <c r="A18" s="65">
        <v>1413</v>
      </c>
      <c r="B18" s="11">
        <v>184.98519999999999</v>
      </c>
      <c r="C18" s="11">
        <v>115.97</v>
      </c>
      <c r="D18" s="11">
        <v>11.164999999999999</v>
      </c>
      <c r="E18" s="12">
        <v>0.38541666666666669</v>
      </c>
      <c r="F18" s="33" t="s">
        <v>514</v>
      </c>
      <c r="G18" s="33" t="s">
        <v>537</v>
      </c>
      <c r="H18" s="33"/>
      <c r="I18" s="33"/>
      <c r="J18" s="11">
        <v>14.978</v>
      </c>
      <c r="K18" s="11">
        <v>-1</v>
      </c>
      <c r="L18" s="11">
        <v>1</v>
      </c>
      <c r="M18" s="11">
        <v>37</v>
      </c>
      <c r="N18" s="11">
        <v>99.8</v>
      </c>
      <c r="P18" s="11" t="b">
        <v>0</v>
      </c>
      <c r="Q18" s="11" t="s">
        <v>133</v>
      </c>
      <c r="R18" s="11" t="s">
        <v>208</v>
      </c>
      <c r="S18" s="11" t="s">
        <v>209</v>
      </c>
      <c r="T18" s="11" t="s">
        <v>210</v>
      </c>
      <c r="V18" s="11" t="s">
        <v>211</v>
      </c>
      <c r="W18" s="11" t="s">
        <v>137</v>
      </c>
      <c r="X18" s="11" t="s">
        <v>138</v>
      </c>
      <c r="Y18" s="11" t="s">
        <v>139</v>
      </c>
      <c r="Z18" s="11">
        <v>185</v>
      </c>
      <c r="AA18" s="11">
        <v>-1.48000000000081E-2</v>
      </c>
      <c r="AB18" s="11">
        <v>184.997015981407</v>
      </c>
      <c r="AC18" s="11">
        <v>185</v>
      </c>
      <c r="AD18" s="11">
        <v>-2.9840185928548999E-3</v>
      </c>
      <c r="AE18" s="11">
        <v>35</v>
      </c>
      <c r="AF18" s="11">
        <v>6</v>
      </c>
      <c r="AG18" s="11">
        <v>2</v>
      </c>
      <c r="AH18" s="11" t="b">
        <v>1</v>
      </c>
      <c r="AI18" s="11" t="s">
        <v>212</v>
      </c>
      <c r="AJ18" s="11" t="s">
        <v>165</v>
      </c>
      <c r="AK18" s="11" t="b">
        <v>1</v>
      </c>
      <c r="AL18" s="11" t="b">
        <v>1</v>
      </c>
      <c r="AM18" s="11" t="b">
        <v>0</v>
      </c>
      <c r="AN18" s="11" t="b">
        <v>0</v>
      </c>
      <c r="AO18" s="11" t="s">
        <v>133</v>
      </c>
      <c r="AP18" s="11" t="s">
        <v>138</v>
      </c>
      <c r="AV18" s="11" t="s">
        <v>144</v>
      </c>
      <c r="AW18" s="11">
        <v>1413</v>
      </c>
      <c r="AX18" s="11">
        <v>293.99900000000002</v>
      </c>
      <c r="AY18" s="11">
        <v>138.999</v>
      </c>
      <c r="AZ18" s="11">
        <v>167.999</v>
      </c>
      <c r="BA18" s="11">
        <v>139.999</v>
      </c>
      <c r="BC18" s="11">
        <v>233.999</v>
      </c>
      <c r="BD18" s="11">
        <v>213.999</v>
      </c>
      <c r="BE18" s="11">
        <v>187.999</v>
      </c>
      <c r="BL18" s="11">
        <v>317.99900000000002</v>
      </c>
      <c r="BM18" s="11">
        <v>261.99900000000002</v>
      </c>
      <c r="BN18" s="11">
        <v>198.999</v>
      </c>
      <c r="BP18" s="11">
        <v>167.999</v>
      </c>
      <c r="BT18" s="11">
        <v>535.99900000000002</v>
      </c>
      <c r="BW18" s="11">
        <v>108.999</v>
      </c>
      <c r="BX18" s="11">
        <v>355.99900000000002</v>
      </c>
      <c r="BZ18" s="11">
        <v>94.998999999999995</v>
      </c>
      <c r="CA18" s="11">
        <v>140.999</v>
      </c>
      <c r="CD18" s="11">
        <v>2784.9989999999998</v>
      </c>
      <c r="CI18" s="11">
        <v>825.99900000000002</v>
      </c>
      <c r="CM18" s="11">
        <v>377.99900000000002</v>
      </c>
      <c r="CN18" s="11">
        <v>240.999</v>
      </c>
      <c r="CS18" s="11">
        <v>82.998999999999995</v>
      </c>
      <c r="CU18" s="11">
        <v>319.99900000000002</v>
      </c>
      <c r="DE18" s="11">
        <v>103.999</v>
      </c>
      <c r="DF18" s="11">
        <v>87.998999999999995</v>
      </c>
      <c r="DI18" s="11">
        <v>145.999</v>
      </c>
      <c r="DJ18" s="11">
        <v>690.99900000000002</v>
      </c>
      <c r="DM18" s="11">
        <v>66.998999999999995</v>
      </c>
      <c r="DR18" s="11">
        <v>231.999</v>
      </c>
      <c r="DV18" s="11">
        <v>162.999</v>
      </c>
      <c r="DW18" s="11">
        <v>338.99900000000002</v>
      </c>
      <c r="DY18" s="11">
        <v>221.999</v>
      </c>
      <c r="EB18" s="11">
        <v>438.99900000000002</v>
      </c>
      <c r="EC18" s="11">
        <v>505.99900000000002</v>
      </c>
      <c r="ED18" s="11">
        <v>130.999</v>
      </c>
      <c r="EF18" s="11">
        <v>1929.999</v>
      </c>
      <c r="EG18" s="11">
        <v>271.99900000000002</v>
      </c>
      <c r="EH18" s="11">
        <v>534.99900000000002</v>
      </c>
      <c r="EJ18" s="12">
        <v>0.38541666666666669</v>
      </c>
    </row>
    <row r="19" spans="1:140" x14ac:dyDescent="0.25">
      <c r="A19" s="62" t="s">
        <v>447</v>
      </c>
      <c r="B19" s="57" t="s">
        <v>6</v>
      </c>
      <c r="C19" s="1" t="s">
        <v>12</v>
      </c>
      <c r="D19" s="1" t="s">
        <v>7</v>
      </c>
      <c r="E19" s="8" t="s">
        <v>336</v>
      </c>
      <c r="F19" s="18" t="s">
        <v>340</v>
      </c>
      <c r="G19" s="18" t="s">
        <v>426</v>
      </c>
      <c r="H19" s="18"/>
      <c r="I19" s="18"/>
      <c r="J19" s="1" t="s">
        <v>11</v>
      </c>
    </row>
    <row r="20" spans="1:140" s="52" customFormat="1" ht="45" x14ac:dyDescent="0.25">
      <c r="A20" s="66" t="s">
        <v>448</v>
      </c>
      <c r="B20" s="55">
        <v>480.93700000000001</v>
      </c>
      <c r="C20" s="55">
        <v>165.4</v>
      </c>
      <c r="D20" s="52">
        <v>10.199999999999999</v>
      </c>
      <c r="F20" s="56" t="s">
        <v>457</v>
      </c>
      <c r="G20" s="54"/>
      <c r="H20" s="54" t="s">
        <v>605</v>
      </c>
      <c r="I20" s="54">
        <v>5</v>
      </c>
      <c r="J20" s="55">
        <v>22.26</v>
      </c>
    </row>
    <row r="21" spans="1:140" s="52" customFormat="1" x14ac:dyDescent="0.25">
      <c r="A21" s="66" t="s">
        <v>449</v>
      </c>
      <c r="B21" s="55">
        <v>480.93700000000001</v>
      </c>
      <c r="C21" s="55">
        <v>159.5</v>
      </c>
      <c r="D21" s="55">
        <v>9.6999999999999993</v>
      </c>
      <c r="F21" s="54" t="s">
        <v>450</v>
      </c>
      <c r="G21" s="54"/>
      <c r="H21" s="54" t="s">
        <v>605</v>
      </c>
      <c r="I21" s="54">
        <v>5</v>
      </c>
      <c r="J21" s="55">
        <v>21.7</v>
      </c>
    </row>
    <row r="22" spans="1:140" s="6" customFormat="1" ht="30" x14ac:dyDescent="0.25">
      <c r="A22" s="67" t="s">
        <v>479</v>
      </c>
      <c r="B22" s="23">
        <v>314.9357</v>
      </c>
      <c r="D22" s="23">
        <v>9.6999999999999993</v>
      </c>
      <c r="F22" s="22" t="s">
        <v>480</v>
      </c>
      <c r="G22" s="22" t="s">
        <v>593</v>
      </c>
      <c r="H22" s="22"/>
      <c r="I22" s="22"/>
      <c r="J22" s="23">
        <v>21.67</v>
      </c>
    </row>
    <row r="23" spans="1:140" s="49" customFormat="1" x14ac:dyDescent="0.25">
      <c r="A23" s="68" t="s">
        <v>606</v>
      </c>
      <c r="B23" s="49">
        <v>450.92779999999999</v>
      </c>
      <c r="D23" s="49">
        <v>11</v>
      </c>
      <c r="F23" s="50" t="s">
        <v>551</v>
      </c>
      <c r="G23" s="50" t="s">
        <v>678</v>
      </c>
      <c r="H23" s="50" t="s">
        <v>676</v>
      </c>
      <c r="I23" s="50">
        <v>2</v>
      </c>
      <c r="J23" s="49">
        <v>23.8</v>
      </c>
    </row>
    <row r="24" spans="1:140" s="49" customFormat="1" ht="30" x14ac:dyDescent="0.25">
      <c r="A24" s="68" t="s">
        <v>607</v>
      </c>
      <c r="B24" s="49">
        <v>592.94949999999994</v>
      </c>
      <c r="C24" s="49">
        <v>173.02</v>
      </c>
      <c r="D24" s="49">
        <v>11</v>
      </c>
      <c r="F24" s="50" t="s">
        <v>550</v>
      </c>
      <c r="G24" s="50"/>
      <c r="H24" s="50" t="s">
        <v>597</v>
      </c>
      <c r="I24" s="50">
        <v>3</v>
      </c>
      <c r="J24" s="49">
        <v>23.263000000000002</v>
      </c>
    </row>
    <row r="25" spans="1:140" s="49" customFormat="1" ht="30" x14ac:dyDescent="0.25">
      <c r="A25" s="68" t="s">
        <v>608</v>
      </c>
      <c r="B25" s="49">
        <v>414.94920000000002</v>
      </c>
      <c r="D25" s="49">
        <v>11</v>
      </c>
      <c r="F25" s="50" t="s">
        <v>595</v>
      </c>
      <c r="G25" s="50" t="s">
        <v>680</v>
      </c>
      <c r="H25" s="50" t="s">
        <v>677</v>
      </c>
      <c r="I25" s="50">
        <v>2</v>
      </c>
    </row>
    <row r="26" spans="1:140" s="49" customFormat="1" x14ac:dyDescent="0.25">
      <c r="A26" s="68" t="s">
        <v>609</v>
      </c>
      <c r="B26" s="49">
        <v>628.91780000000006</v>
      </c>
      <c r="D26" s="49">
        <v>11</v>
      </c>
      <c r="F26" s="50" t="s">
        <v>594</v>
      </c>
      <c r="G26" s="50"/>
      <c r="H26" s="50" t="s">
        <v>596</v>
      </c>
      <c r="I26" s="50">
        <v>3</v>
      </c>
    </row>
    <row r="27" spans="1:140" s="73" customFormat="1" x14ac:dyDescent="0.25">
      <c r="A27" s="72"/>
      <c r="F27" s="74"/>
      <c r="G27" s="74"/>
      <c r="H27" s="74"/>
      <c r="I27" s="74"/>
    </row>
    <row r="32" spans="1:140" x14ac:dyDescent="0.25">
      <c r="A32" t="s">
        <v>440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80B9D-5633-4401-BD8E-211BC631D1B1}">
  <dimension ref="A1:H44"/>
  <sheetViews>
    <sheetView tabSelected="1" zoomScale="80" zoomScaleNormal="80" workbookViewId="0">
      <selection activeCell="G19" sqref="A1:G19"/>
    </sheetView>
  </sheetViews>
  <sheetFormatPr defaultRowHeight="15" x14ac:dyDescent="0.25"/>
  <cols>
    <col min="1" max="1" width="16.42578125" bestFit="1" customWidth="1"/>
    <col min="2" max="2" width="16.28515625" bestFit="1" customWidth="1"/>
    <col min="3" max="3" width="12.85546875" bestFit="1" customWidth="1"/>
    <col min="4" max="4" width="13.42578125" bestFit="1" customWidth="1"/>
    <col min="5" max="5" width="12.42578125" bestFit="1" customWidth="1"/>
    <col min="6" max="6" width="18.42578125" bestFit="1" customWidth="1"/>
    <col min="7" max="7" width="17" bestFit="1" customWidth="1"/>
    <col min="8" max="8" width="48.42578125" customWidth="1"/>
  </cols>
  <sheetData>
    <row r="1" spans="1:8" x14ac:dyDescent="0.25">
      <c r="A1" t="s">
        <v>342</v>
      </c>
      <c r="B1" t="s">
        <v>465</v>
      </c>
      <c r="C1" t="s">
        <v>346</v>
      </c>
      <c r="D1" t="s">
        <v>344</v>
      </c>
      <c r="E1" t="s">
        <v>345</v>
      </c>
      <c r="F1" t="s">
        <v>452</v>
      </c>
      <c r="G1" t="s">
        <v>453</v>
      </c>
      <c r="H1" t="s">
        <v>340</v>
      </c>
    </row>
    <row r="2" spans="1:8" x14ac:dyDescent="0.25">
      <c r="A2" t="s">
        <v>485</v>
      </c>
      <c r="B2" t="s">
        <v>683</v>
      </c>
      <c r="C2">
        <v>314.93889999999999</v>
      </c>
      <c r="D2">
        <v>166.76</v>
      </c>
      <c r="E2">
        <v>11.195</v>
      </c>
      <c r="F2" t="s">
        <v>257</v>
      </c>
      <c r="G2" t="s">
        <v>464</v>
      </c>
    </row>
    <row r="3" spans="1:8" x14ac:dyDescent="0.25">
      <c r="A3" t="s">
        <v>485</v>
      </c>
      <c r="B3" t="s">
        <v>684</v>
      </c>
      <c r="C3">
        <v>314.93889999999999</v>
      </c>
      <c r="D3">
        <v>166.76</v>
      </c>
      <c r="E3">
        <v>9.6999999999999993</v>
      </c>
      <c r="F3" t="s">
        <v>257</v>
      </c>
      <c r="G3" t="s">
        <v>464</v>
      </c>
      <c r="H3" t="s">
        <v>705</v>
      </c>
    </row>
    <row r="4" spans="1:8" x14ac:dyDescent="0.25">
      <c r="A4" t="s">
        <v>485</v>
      </c>
      <c r="B4" t="s">
        <v>471</v>
      </c>
      <c r="C4">
        <v>364.93470000000002</v>
      </c>
      <c r="D4">
        <v>144.36000000000001</v>
      </c>
      <c r="E4">
        <v>7.1</v>
      </c>
      <c r="F4" t="s">
        <v>463</v>
      </c>
      <c r="G4" t="s">
        <v>464</v>
      </c>
      <c r="H4" t="s">
        <v>700</v>
      </c>
    </row>
    <row r="5" spans="1:8" x14ac:dyDescent="0.25">
      <c r="A5" t="s">
        <v>485</v>
      </c>
      <c r="B5" t="s">
        <v>473</v>
      </c>
      <c r="C5">
        <v>414.93150000000003</v>
      </c>
      <c r="D5">
        <v>150.85</v>
      </c>
      <c r="E5">
        <v>8.4</v>
      </c>
      <c r="F5" t="s">
        <v>466</v>
      </c>
      <c r="G5" t="s">
        <v>464</v>
      </c>
      <c r="H5" t="s">
        <v>700</v>
      </c>
    </row>
    <row r="6" spans="1:8" x14ac:dyDescent="0.25">
      <c r="A6" t="s">
        <v>485</v>
      </c>
      <c r="B6" t="s">
        <v>475</v>
      </c>
      <c r="C6">
        <v>464.92829999999998</v>
      </c>
      <c r="D6">
        <v>158.32</v>
      </c>
      <c r="E6">
        <v>9.5</v>
      </c>
      <c r="F6" t="s">
        <v>467</v>
      </c>
      <c r="G6" t="s">
        <v>464</v>
      </c>
      <c r="H6" t="s">
        <v>700</v>
      </c>
    </row>
    <row r="7" spans="1:8" x14ac:dyDescent="0.25">
      <c r="A7" t="s">
        <v>485</v>
      </c>
      <c r="B7" t="s">
        <v>681</v>
      </c>
      <c r="C7">
        <v>514.92240000000004</v>
      </c>
      <c r="D7">
        <v>172</v>
      </c>
      <c r="E7">
        <v>10.638</v>
      </c>
      <c r="F7" t="s">
        <v>442</v>
      </c>
      <c r="G7" t="s">
        <v>464</v>
      </c>
      <c r="H7" t="s">
        <v>701</v>
      </c>
    </row>
    <row r="8" spans="1:8" x14ac:dyDescent="0.25">
      <c r="A8" t="s">
        <v>485</v>
      </c>
      <c r="B8" t="s">
        <v>682</v>
      </c>
      <c r="C8">
        <v>564.91869999999994</v>
      </c>
      <c r="D8">
        <v>181.89</v>
      </c>
      <c r="E8">
        <v>11.356</v>
      </c>
      <c r="F8" t="s">
        <v>486</v>
      </c>
      <c r="G8" t="s">
        <v>464</v>
      </c>
      <c r="H8" t="s">
        <v>702</v>
      </c>
    </row>
    <row r="9" spans="1:8" x14ac:dyDescent="0.25">
      <c r="A9" t="s">
        <v>485</v>
      </c>
      <c r="B9" t="s">
        <v>685</v>
      </c>
      <c r="D9">
        <v>190.32526152608</v>
      </c>
      <c r="F9" t="s">
        <v>686</v>
      </c>
      <c r="G9" t="s">
        <v>464</v>
      </c>
      <c r="H9" t="s">
        <v>642</v>
      </c>
    </row>
    <row r="10" spans="1:8" x14ac:dyDescent="0.25">
      <c r="A10" t="s">
        <v>687</v>
      </c>
      <c r="B10" t="s">
        <v>688</v>
      </c>
      <c r="D10">
        <v>173.02</v>
      </c>
      <c r="E10">
        <v>11</v>
      </c>
      <c r="F10" t="s">
        <v>619</v>
      </c>
      <c r="G10" t="s">
        <v>464</v>
      </c>
    </row>
    <row r="11" spans="1:8" x14ac:dyDescent="0.25">
      <c r="A11" t="s">
        <v>687</v>
      </c>
      <c r="B11" t="s">
        <v>689</v>
      </c>
      <c r="D11">
        <v>176</v>
      </c>
      <c r="E11">
        <v>11</v>
      </c>
      <c r="F11" t="s">
        <v>612</v>
      </c>
      <c r="G11" t="s">
        <v>464</v>
      </c>
    </row>
    <row r="12" spans="1:8" x14ac:dyDescent="0.25">
      <c r="A12" t="s">
        <v>687</v>
      </c>
      <c r="B12" t="s">
        <v>690</v>
      </c>
      <c r="D12">
        <v>173.02</v>
      </c>
      <c r="E12">
        <v>11</v>
      </c>
      <c r="F12" t="s">
        <v>610</v>
      </c>
      <c r="G12" t="s">
        <v>464</v>
      </c>
    </row>
    <row r="13" spans="1:8" x14ac:dyDescent="0.25">
      <c r="A13" t="s">
        <v>687</v>
      </c>
      <c r="B13" t="s">
        <v>691</v>
      </c>
      <c r="D13">
        <v>154.5</v>
      </c>
      <c r="E13">
        <v>4.4000000000000004</v>
      </c>
      <c r="F13" t="s">
        <v>693</v>
      </c>
      <c r="G13" t="s">
        <v>539</v>
      </c>
    </row>
    <row r="14" spans="1:8" x14ac:dyDescent="0.25">
      <c r="A14" t="s">
        <v>687</v>
      </c>
      <c r="B14" t="s">
        <v>691</v>
      </c>
      <c r="D14">
        <v>161.19999999999999</v>
      </c>
      <c r="E14">
        <v>4.2</v>
      </c>
      <c r="F14" t="s">
        <v>693</v>
      </c>
      <c r="G14" t="s">
        <v>464</v>
      </c>
    </row>
    <row r="15" spans="1:8" x14ac:dyDescent="0.25">
      <c r="A15" t="s">
        <v>687</v>
      </c>
      <c r="B15" t="s">
        <v>691</v>
      </c>
      <c r="D15">
        <v>161.5</v>
      </c>
      <c r="E15">
        <v>4.4000000000000004</v>
      </c>
      <c r="F15" t="s">
        <v>693</v>
      </c>
      <c r="G15" t="s">
        <v>464</v>
      </c>
    </row>
    <row r="16" spans="1:8" x14ac:dyDescent="0.25">
      <c r="A16" t="s">
        <v>687</v>
      </c>
      <c r="B16" t="s">
        <v>692</v>
      </c>
      <c r="D16">
        <v>182.4</v>
      </c>
      <c r="E16">
        <v>7.7</v>
      </c>
      <c r="F16" t="s">
        <v>694</v>
      </c>
      <c r="G16" t="s">
        <v>464</v>
      </c>
    </row>
    <row r="17" spans="1:8" x14ac:dyDescent="0.25">
      <c r="A17" t="s">
        <v>687</v>
      </c>
      <c r="B17" t="s">
        <v>692</v>
      </c>
      <c r="D17">
        <v>176.51</v>
      </c>
      <c r="E17">
        <v>7.7</v>
      </c>
      <c r="F17" t="s">
        <v>694</v>
      </c>
      <c r="G17" t="s">
        <v>539</v>
      </c>
    </row>
    <row r="18" spans="1:8" x14ac:dyDescent="0.25">
      <c r="A18" t="s">
        <v>695</v>
      </c>
      <c r="B18" t="s">
        <v>695</v>
      </c>
      <c r="D18">
        <v>178</v>
      </c>
      <c r="E18">
        <v>11</v>
      </c>
      <c r="F18" t="s">
        <v>696</v>
      </c>
      <c r="G18" t="s">
        <v>464</v>
      </c>
    </row>
    <row r="19" spans="1:8" x14ac:dyDescent="0.25">
      <c r="A19" t="s">
        <v>695</v>
      </c>
      <c r="B19" t="s">
        <v>695</v>
      </c>
      <c r="D19">
        <v>171</v>
      </c>
      <c r="E19">
        <v>11</v>
      </c>
      <c r="F19" t="s">
        <v>696</v>
      </c>
      <c r="G19" t="s">
        <v>707</v>
      </c>
    </row>
    <row r="20" spans="1:8" x14ac:dyDescent="0.25">
      <c r="A20" t="s">
        <v>698</v>
      </c>
      <c r="B20" t="s">
        <v>699</v>
      </c>
      <c r="E20">
        <v>11.2</v>
      </c>
      <c r="F20" t="s">
        <v>496</v>
      </c>
      <c r="G20" t="s">
        <v>455</v>
      </c>
      <c r="H20" t="s">
        <v>706</v>
      </c>
    </row>
    <row r="24" spans="1:8" x14ac:dyDescent="0.25">
      <c r="A24" t="s">
        <v>342</v>
      </c>
      <c r="B24" t="s">
        <v>465</v>
      </c>
      <c r="C24" t="s">
        <v>346</v>
      </c>
      <c r="D24" t="s">
        <v>344</v>
      </c>
      <c r="E24" t="s">
        <v>345</v>
      </c>
      <c r="F24" t="s">
        <v>452</v>
      </c>
      <c r="G24" t="s">
        <v>453</v>
      </c>
      <c r="H24" t="s">
        <v>340</v>
      </c>
    </row>
    <row r="25" spans="1:8" x14ac:dyDescent="0.25">
      <c r="A25" t="s">
        <v>485</v>
      </c>
      <c r="B25" t="s">
        <v>683</v>
      </c>
      <c r="C25">
        <v>314.93889999999999</v>
      </c>
      <c r="D25">
        <v>166.76</v>
      </c>
      <c r="E25">
        <v>11.195</v>
      </c>
      <c r="F25" t="s">
        <v>257</v>
      </c>
      <c r="G25" t="s">
        <v>464</v>
      </c>
    </row>
    <row r="26" spans="1:8" x14ac:dyDescent="0.25">
      <c r="A26" t="s">
        <v>485</v>
      </c>
      <c r="B26" t="s">
        <v>684</v>
      </c>
      <c r="C26">
        <v>314.93889999999999</v>
      </c>
      <c r="D26">
        <v>166.76</v>
      </c>
      <c r="E26">
        <v>9.6999999999999993</v>
      </c>
      <c r="F26" t="s">
        <v>257</v>
      </c>
      <c r="G26" t="s">
        <v>464</v>
      </c>
      <c r="H26" t="s">
        <v>705</v>
      </c>
    </row>
    <row r="27" spans="1:8" x14ac:dyDescent="0.25">
      <c r="A27" t="s">
        <v>485</v>
      </c>
      <c r="B27" t="s">
        <v>471</v>
      </c>
      <c r="C27">
        <v>364.93470000000002</v>
      </c>
      <c r="D27">
        <v>144.36000000000001</v>
      </c>
      <c r="E27">
        <v>7.1</v>
      </c>
      <c r="F27" t="s">
        <v>463</v>
      </c>
      <c r="G27" t="s">
        <v>464</v>
      </c>
      <c r="H27" t="s">
        <v>700</v>
      </c>
    </row>
    <row r="28" spans="1:8" x14ac:dyDescent="0.25">
      <c r="A28" t="s">
        <v>485</v>
      </c>
      <c r="B28" t="s">
        <v>473</v>
      </c>
      <c r="C28">
        <v>414.93150000000003</v>
      </c>
      <c r="D28">
        <v>150.85</v>
      </c>
      <c r="E28">
        <v>8.4</v>
      </c>
      <c r="F28" t="s">
        <v>466</v>
      </c>
      <c r="G28" t="s">
        <v>464</v>
      </c>
      <c r="H28" t="s">
        <v>700</v>
      </c>
    </row>
    <row r="29" spans="1:8" x14ac:dyDescent="0.25">
      <c r="A29" t="s">
        <v>485</v>
      </c>
      <c r="B29" t="s">
        <v>475</v>
      </c>
      <c r="C29">
        <v>464.92829999999998</v>
      </c>
      <c r="D29">
        <v>158.32</v>
      </c>
      <c r="E29">
        <v>9.5</v>
      </c>
      <c r="F29" t="s">
        <v>467</v>
      </c>
      <c r="G29" t="s">
        <v>464</v>
      </c>
      <c r="H29" t="s">
        <v>700</v>
      </c>
    </row>
    <row r="30" spans="1:8" x14ac:dyDescent="0.25">
      <c r="A30" t="s">
        <v>485</v>
      </c>
      <c r="B30" t="s">
        <v>681</v>
      </c>
      <c r="C30">
        <v>514.92240000000004</v>
      </c>
      <c r="D30">
        <v>172</v>
      </c>
      <c r="E30">
        <v>10.638</v>
      </c>
      <c r="F30" t="s">
        <v>442</v>
      </c>
      <c r="G30" t="s">
        <v>464</v>
      </c>
      <c r="H30" t="s">
        <v>701</v>
      </c>
    </row>
    <row r="31" spans="1:8" x14ac:dyDescent="0.25">
      <c r="A31" t="s">
        <v>485</v>
      </c>
      <c r="B31" t="s">
        <v>682</v>
      </c>
      <c r="C31">
        <v>564.91869999999994</v>
      </c>
      <c r="D31">
        <v>181.89</v>
      </c>
      <c r="E31">
        <v>11.356</v>
      </c>
      <c r="F31" t="s">
        <v>486</v>
      </c>
      <c r="G31" t="s">
        <v>464</v>
      </c>
      <c r="H31" t="s">
        <v>702</v>
      </c>
    </row>
    <row r="32" spans="1:8" x14ac:dyDescent="0.25">
      <c r="A32" t="s">
        <v>485</v>
      </c>
      <c r="B32" t="s">
        <v>685</v>
      </c>
      <c r="D32">
        <v>190.32526152608</v>
      </c>
      <c r="F32" t="s">
        <v>686</v>
      </c>
      <c r="G32" t="s">
        <v>464</v>
      </c>
      <c r="H32" t="s">
        <v>642</v>
      </c>
    </row>
    <row r="33" spans="1:8" x14ac:dyDescent="0.25">
      <c r="A33" t="s">
        <v>687</v>
      </c>
      <c r="B33" t="s">
        <v>688</v>
      </c>
      <c r="D33">
        <v>173.02</v>
      </c>
      <c r="E33">
        <v>11</v>
      </c>
      <c r="F33" t="s">
        <v>619</v>
      </c>
      <c r="G33" t="s">
        <v>464</v>
      </c>
    </row>
    <row r="34" spans="1:8" x14ac:dyDescent="0.25">
      <c r="A34" t="s">
        <v>687</v>
      </c>
      <c r="B34" t="s">
        <v>688</v>
      </c>
      <c r="E34">
        <v>11</v>
      </c>
      <c r="F34" t="s">
        <v>619</v>
      </c>
      <c r="G34" t="s">
        <v>539</v>
      </c>
      <c r="H34" t="s">
        <v>642</v>
      </c>
    </row>
    <row r="35" spans="1:8" x14ac:dyDescent="0.25">
      <c r="A35" t="s">
        <v>687</v>
      </c>
      <c r="B35" t="s">
        <v>689</v>
      </c>
      <c r="D35">
        <v>176</v>
      </c>
      <c r="E35">
        <v>11</v>
      </c>
      <c r="F35" t="s">
        <v>612</v>
      </c>
      <c r="G35" t="s">
        <v>464</v>
      </c>
    </row>
    <row r="36" spans="1:8" x14ac:dyDescent="0.25">
      <c r="A36" t="s">
        <v>687</v>
      </c>
      <c r="B36" t="s">
        <v>690</v>
      </c>
      <c r="D36">
        <v>173.02</v>
      </c>
      <c r="E36">
        <v>11</v>
      </c>
      <c r="F36" t="s">
        <v>610</v>
      </c>
      <c r="G36" t="s">
        <v>464</v>
      </c>
    </row>
    <row r="37" spans="1:8" x14ac:dyDescent="0.25">
      <c r="A37" t="s">
        <v>687</v>
      </c>
      <c r="B37" t="s">
        <v>691</v>
      </c>
      <c r="D37">
        <v>154.5</v>
      </c>
      <c r="E37">
        <v>4.4000000000000004</v>
      </c>
      <c r="F37" t="s">
        <v>693</v>
      </c>
      <c r="G37" t="s">
        <v>539</v>
      </c>
    </row>
    <row r="38" spans="1:8" x14ac:dyDescent="0.25">
      <c r="A38" t="s">
        <v>687</v>
      </c>
      <c r="B38" t="s">
        <v>691</v>
      </c>
      <c r="D38">
        <v>161.19999999999999</v>
      </c>
      <c r="E38">
        <v>4.2</v>
      </c>
      <c r="F38" t="s">
        <v>693</v>
      </c>
      <c r="G38" t="s">
        <v>464</v>
      </c>
    </row>
    <row r="39" spans="1:8" x14ac:dyDescent="0.25">
      <c r="A39" t="s">
        <v>687</v>
      </c>
      <c r="B39" t="s">
        <v>691</v>
      </c>
      <c r="D39">
        <v>161.5</v>
      </c>
      <c r="E39">
        <v>4.4000000000000004</v>
      </c>
      <c r="F39" t="s">
        <v>693</v>
      </c>
      <c r="G39" t="s">
        <v>464</v>
      </c>
    </row>
    <row r="40" spans="1:8" x14ac:dyDescent="0.25">
      <c r="A40" t="s">
        <v>687</v>
      </c>
      <c r="B40" t="s">
        <v>692</v>
      </c>
      <c r="D40">
        <v>182.4</v>
      </c>
      <c r="E40">
        <v>7.7</v>
      </c>
      <c r="F40" t="s">
        <v>694</v>
      </c>
      <c r="G40" t="s">
        <v>464</v>
      </c>
    </row>
    <row r="41" spans="1:8" x14ac:dyDescent="0.25">
      <c r="A41" t="s">
        <v>687</v>
      </c>
      <c r="B41" t="s">
        <v>692</v>
      </c>
      <c r="D41">
        <v>176.51</v>
      </c>
      <c r="E41">
        <v>7.7</v>
      </c>
      <c r="F41" t="s">
        <v>694</v>
      </c>
      <c r="G41" t="s">
        <v>539</v>
      </c>
    </row>
    <row r="42" spans="1:8" x14ac:dyDescent="0.25">
      <c r="A42" t="s">
        <v>695</v>
      </c>
      <c r="B42" t="s">
        <v>695</v>
      </c>
      <c r="D42">
        <v>178</v>
      </c>
      <c r="E42">
        <v>11</v>
      </c>
      <c r="F42" t="s">
        <v>696</v>
      </c>
      <c r="G42" t="s">
        <v>464</v>
      </c>
    </row>
    <row r="43" spans="1:8" x14ac:dyDescent="0.25">
      <c r="A43" t="s">
        <v>695</v>
      </c>
      <c r="B43" t="s">
        <v>697</v>
      </c>
      <c r="D43">
        <v>171</v>
      </c>
      <c r="E43">
        <v>11</v>
      </c>
      <c r="F43" t="s">
        <v>679</v>
      </c>
      <c r="G43" t="s">
        <v>455</v>
      </c>
    </row>
    <row r="44" spans="1:8" x14ac:dyDescent="0.25">
      <c r="A44" t="s">
        <v>698</v>
      </c>
      <c r="B44" t="s">
        <v>699</v>
      </c>
      <c r="E44">
        <v>11.2</v>
      </c>
      <c r="F44" t="s">
        <v>496</v>
      </c>
      <c r="G44" t="s">
        <v>455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D04BC-AC56-48BA-80D0-7590CB069559}">
  <dimension ref="A1:E7"/>
  <sheetViews>
    <sheetView workbookViewId="0">
      <selection activeCell="A3" sqref="A3:XFD3"/>
    </sheetView>
  </sheetViews>
  <sheetFormatPr defaultRowHeight="15" x14ac:dyDescent="0.25"/>
  <cols>
    <col min="4" max="4" width="49.5703125" customWidth="1"/>
  </cols>
  <sheetData>
    <row r="1" spans="1:5" x14ac:dyDescent="0.25">
      <c r="A1" t="s">
        <v>6</v>
      </c>
      <c r="B1" t="s">
        <v>12</v>
      </c>
      <c r="C1" t="s">
        <v>599</v>
      </c>
      <c r="D1" t="s">
        <v>601</v>
      </c>
    </row>
    <row r="2" spans="1:5" x14ac:dyDescent="0.25">
      <c r="A2">
        <v>480.96789999999999</v>
      </c>
      <c r="B2">
        <v>165.79</v>
      </c>
      <c r="C2">
        <v>10.542</v>
      </c>
      <c r="D2" t="s">
        <v>600</v>
      </c>
    </row>
    <row r="3" spans="1:5" x14ac:dyDescent="0.25">
      <c r="A3">
        <v>480.93959999999998</v>
      </c>
      <c r="B3">
        <v>165.4</v>
      </c>
      <c r="C3">
        <v>10.199999999999999</v>
      </c>
      <c r="D3" t="s">
        <v>602</v>
      </c>
    </row>
    <row r="4" spans="1:5" x14ac:dyDescent="0.25">
      <c r="A4">
        <v>480.93959999999998</v>
      </c>
      <c r="B4">
        <v>161</v>
      </c>
      <c r="C4">
        <v>9.6999999999999993</v>
      </c>
      <c r="D4" t="s">
        <v>602</v>
      </c>
    </row>
    <row r="7" spans="1:5" x14ac:dyDescent="0.25">
      <c r="A7">
        <v>480.93909280000003</v>
      </c>
      <c r="D7" t="s">
        <v>604</v>
      </c>
      <c r="E7" t="s">
        <v>603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129DD-7718-4D4E-8762-9D66B83404DD}">
  <dimension ref="A1:N145"/>
  <sheetViews>
    <sheetView topLeftCell="A32" zoomScale="80" zoomScaleNormal="80" workbookViewId="0">
      <selection activeCell="D51" sqref="D51"/>
    </sheetView>
  </sheetViews>
  <sheetFormatPr defaultRowHeight="15" x14ac:dyDescent="0.25"/>
  <cols>
    <col min="1" max="1" width="17.5703125" customWidth="1"/>
    <col min="2" max="2" width="14.7109375" bestFit="1" customWidth="1"/>
    <col min="3" max="3" width="12" bestFit="1" customWidth="1"/>
    <col min="4" max="4" width="12.7109375" bestFit="1" customWidth="1"/>
    <col min="5" max="5" width="12" bestFit="1" customWidth="1"/>
    <col min="6" max="6" width="24.140625" style="16" customWidth="1"/>
    <col min="7" max="7" width="18.42578125" style="16" customWidth="1"/>
    <col min="8" max="11" width="18" customWidth="1"/>
    <col min="12" max="12" width="52" customWidth="1"/>
    <col min="13" max="13" width="3.42578125" customWidth="1"/>
    <col min="14" max="14" width="75.42578125" customWidth="1"/>
  </cols>
  <sheetData>
    <row r="1" spans="1:14" ht="30" x14ac:dyDescent="0.25">
      <c r="A1">
        <v>5135</v>
      </c>
      <c r="B1">
        <v>448.96550000000002</v>
      </c>
      <c r="C1">
        <v>173.02</v>
      </c>
      <c r="D1">
        <v>10.999000000000001</v>
      </c>
      <c r="E1">
        <v>1.0416666666666666E-2</v>
      </c>
      <c r="F1" s="16" t="s">
        <v>561</v>
      </c>
      <c r="G1" t="s">
        <v>559</v>
      </c>
      <c r="L1">
        <v>23.263000000000002</v>
      </c>
      <c r="N1" s="16">
        <f>B1-262.9755</f>
        <v>185.99</v>
      </c>
    </row>
    <row r="2" spans="1:14" ht="30" x14ac:dyDescent="0.25">
      <c r="F2" s="16" t="s">
        <v>560</v>
      </c>
      <c r="L2" t="s">
        <v>586</v>
      </c>
      <c r="N2" t="s">
        <v>585</v>
      </c>
    </row>
    <row r="3" spans="1:14" x14ac:dyDescent="0.25">
      <c r="L3" t="s">
        <v>587</v>
      </c>
      <c r="N3" t="s">
        <v>572</v>
      </c>
    </row>
    <row r="4" spans="1:14" x14ac:dyDescent="0.25">
      <c r="N4" t="s">
        <v>562</v>
      </c>
    </row>
    <row r="5" spans="1:14" x14ac:dyDescent="0.25">
      <c r="A5" t="s">
        <v>342</v>
      </c>
      <c r="B5" t="s">
        <v>465</v>
      </c>
      <c r="C5" t="s">
        <v>346</v>
      </c>
      <c r="D5" t="s">
        <v>344</v>
      </c>
      <c r="E5" t="s">
        <v>345</v>
      </c>
      <c r="F5" t="s">
        <v>452</v>
      </c>
      <c r="G5" t="s">
        <v>453</v>
      </c>
      <c r="H5" t="s">
        <v>487</v>
      </c>
      <c r="I5" t="s">
        <v>488</v>
      </c>
      <c r="J5" t="s">
        <v>489</v>
      </c>
      <c r="K5" t="s">
        <v>490</v>
      </c>
      <c r="L5" t="s">
        <v>340</v>
      </c>
      <c r="N5" t="s">
        <v>563</v>
      </c>
    </row>
    <row r="6" spans="1:14" x14ac:dyDescent="0.25">
      <c r="A6" t="s">
        <v>554</v>
      </c>
      <c r="B6" t="s">
        <v>555</v>
      </c>
      <c r="C6">
        <v>448.96550000000002</v>
      </c>
      <c r="D6">
        <v>173.02</v>
      </c>
      <c r="E6">
        <v>11</v>
      </c>
      <c r="G6" s="16">
        <v>-1</v>
      </c>
      <c r="L6" t="s">
        <v>584</v>
      </c>
      <c r="N6" t="s">
        <v>564</v>
      </c>
    </row>
    <row r="7" spans="1:14" x14ac:dyDescent="0.25">
      <c r="A7" t="s">
        <v>554</v>
      </c>
      <c r="B7" t="s">
        <v>556</v>
      </c>
      <c r="C7">
        <v>448.96550000000002</v>
      </c>
      <c r="D7">
        <v>173.02</v>
      </c>
      <c r="E7">
        <v>10.9</v>
      </c>
      <c r="G7" s="16">
        <v>-1</v>
      </c>
      <c r="N7" t="s">
        <v>565</v>
      </c>
    </row>
    <row r="8" spans="1:14" x14ac:dyDescent="0.25">
      <c r="A8" t="s">
        <v>554</v>
      </c>
      <c r="B8" t="s">
        <v>557</v>
      </c>
      <c r="C8">
        <v>448.96550000000002</v>
      </c>
      <c r="D8">
        <v>173.02</v>
      </c>
      <c r="E8">
        <v>10.8</v>
      </c>
      <c r="G8" s="16">
        <v>-1</v>
      </c>
      <c r="N8" t="s">
        <v>566</v>
      </c>
    </row>
    <row r="9" spans="1:14" x14ac:dyDescent="0.25">
      <c r="A9" t="s">
        <v>554</v>
      </c>
      <c r="B9" t="s">
        <v>558</v>
      </c>
      <c r="C9">
        <v>448.96550000000002</v>
      </c>
      <c r="D9">
        <v>173.02</v>
      </c>
      <c r="E9">
        <v>10.999000000000001</v>
      </c>
      <c r="G9" s="16">
        <v>-1</v>
      </c>
      <c r="N9" t="s">
        <v>576</v>
      </c>
    </row>
    <row r="10" spans="1:14" x14ac:dyDescent="0.25">
      <c r="A10" t="s">
        <v>554</v>
      </c>
      <c r="B10" t="s">
        <v>573</v>
      </c>
      <c r="C10">
        <v>592.94949999999994</v>
      </c>
      <c r="D10">
        <v>173.02</v>
      </c>
      <c r="E10">
        <v>10.999000000000001</v>
      </c>
      <c r="G10" s="16">
        <v>-1</v>
      </c>
      <c r="L10" t="s">
        <v>590</v>
      </c>
      <c r="N10" t="s">
        <v>567</v>
      </c>
    </row>
    <row r="11" spans="1:14" x14ac:dyDescent="0.25">
      <c r="A11" t="s">
        <v>554</v>
      </c>
      <c r="B11">
        <v>450</v>
      </c>
      <c r="C11">
        <v>450.928</v>
      </c>
      <c r="D11">
        <v>178</v>
      </c>
      <c r="E11">
        <v>11</v>
      </c>
      <c r="G11" s="16">
        <v>-1</v>
      </c>
      <c r="N11" t="s">
        <v>568</v>
      </c>
    </row>
    <row r="12" spans="1:14" x14ac:dyDescent="0.25">
      <c r="A12" t="s">
        <v>554</v>
      </c>
      <c r="B12" t="s">
        <v>574</v>
      </c>
      <c r="C12">
        <v>628.91890000000001</v>
      </c>
      <c r="D12">
        <v>178</v>
      </c>
      <c r="E12">
        <v>10.999000000000001</v>
      </c>
      <c r="G12" s="16">
        <v>-1</v>
      </c>
      <c r="L12" t="s">
        <v>591</v>
      </c>
      <c r="N12" t="s">
        <v>569</v>
      </c>
    </row>
    <row r="13" spans="1:14" x14ac:dyDescent="0.25">
      <c r="A13" t="s">
        <v>554</v>
      </c>
      <c r="B13">
        <v>414</v>
      </c>
      <c r="C13">
        <v>414.94920000000002</v>
      </c>
      <c r="D13">
        <v>173.02</v>
      </c>
      <c r="E13">
        <v>11</v>
      </c>
      <c r="G13" s="16">
        <v>-1</v>
      </c>
      <c r="L13" t="s">
        <v>589</v>
      </c>
      <c r="N13" t="s">
        <v>570</v>
      </c>
    </row>
    <row r="14" spans="1:14" x14ac:dyDescent="0.25">
      <c r="A14" t="s">
        <v>554</v>
      </c>
      <c r="B14">
        <v>414</v>
      </c>
      <c r="C14">
        <v>414.94920000000002</v>
      </c>
      <c r="D14">
        <v>178</v>
      </c>
      <c r="E14">
        <v>11</v>
      </c>
      <c r="G14" s="16">
        <v>-1</v>
      </c>
      <c r="N14" t="s">
        <v>571</v>
      </c>
    </row>
    <row r="15" spans="1:14" x14ac:dyDescent="0.25">
      <c r="N15" t="s">
        <v>588</v>
      </c>
    </row>
    <row r="18" spans="1:14" x14ac:dyDescent="0.25">
      <c r="N18" t="s">
        <v>575</v>
      </c>
    </row>
    <row r="19" spans="1:14" x14ac:dyDescent="0.25">
      <c r="C19">
        <f>C11-C13</f>
        <v>35.978799999999978</v>
      </c>
      <c r="N19" t="s">
        <v>577</v>
      </c>
    </row>
    <row r="20" spans="1:14" x14ac:dyDescent="0.25">
      <c r="C20">
        <f>(C11-450.9321164)/450.9321164*1000000</f>
        <v>-9.1286467525307931</v>
      </c>
      <c r="N20" t="s">
        <v>578</v>
      </c>
    </row>
    <row r="21" spans="1:14" x14ac:dyDescent="0.25">
      <c r="N21" t="s">
        <v>583</v>
      </c>
    </row>
    <row r="22" spans="1:14" x14ac:dyDescent="0.25">
      <c r="C22">
        <f>414.9492+43.98983</f>
        <v>458.93903</v>
      </c>
      <c r="N22" t="s">
        <v>579</v>
      </c>
    </row>
    <row r="23" spans="1:14" x14ac:dyDescent="0.25">
      <c r="C23">
        <f>414.9492-43.98983</f>
        <v>370.95937000000004</v>
      </c>
      <c r="N23" t="s">
        <v>580</v>
      </c>
    </row>
    <row r="24" spans="1:14" x14ac:dyDescent="0.25">
      <c r="N24" t="s">
        <v>581</v>
      </c>
    </row>
    <row r="25" spans="1:14" x14ac:dyDescent="0.25">
      <c r="N25" t="s">
        <v>582</v>
      </c>
    </row>
    <row r="26" spans="1:14" x14ac:dyDescent="0.25">
      <c r="N26" t="s">
        <v>635</v>
      </c>
    </row>
    <row r="27" spans="1:14" x14ac:dyDescent="0.25">
      <c r="H27" t="s">
        <v>592</v>
      </c>
    </row>
    <row r="28" spans="1:14" x14ac:dyDescent="0.25">
      <c r="A28" s="19" t="s">
        <v>647</v>
      </c>
    </row>
    <row r="29" spans="1:14" x14ac:dyDescent="0.25">
      <c r="A29" t="s">
        <v>342</v>
      </c>
      <c r="B29" t="s">
        <v>465</v>
      </c>
      <c r="C29" t="s">
        <v>346</v>
      </c>
      <c r="D29" t="s">
        <v>344</v>
      </c>
      <c r="E29" t="s">
        <v>345</v>
      </c>
      <c r="F29" t="s">
        <v>452</v>
      </c>
      <c r="G29" t="s">
        <v>453</v>
      </c>
      <c r="H29" t="s">
        <v>487</v>
      </c>
      <c r="I29" t="s">
        <v>488</v>
      </c>
      <c r="J29" t="s">
        <v>489</v>
      </c>
      <c r="K29" t="s">
        <v>490</v>
      </c>
    </row>
    <row r="30" spans="1:14" x14ac:dyDescent="0.25">
      <c r="A30" s="19" t="s">
        <v>554</v>
      </c>
      <c r="B30" s="19" t="s">
        <v>558</v>
      </c>
      <c r="C30" s="19">
        <v>448.96550000000002</v>
      </c>
      <c r="D30" s="19">
        <v>173.02</v>
      </c>
      <c r="E30" s="19">
        <v>10.999000000000001</v>
      </c>
      <c r="F30" s="31" t="s">
        <v>610</v>
      </c>
      <c r="G30" s="31" t="s">
        <v>464</v>
      </c>
      <c r="H30" s="19" t="s">
        <v>491</v>
      </c>
      <c r="I30" s="31" t="s">
        <v>610</v>
      </c>
      <c r="J30" s="19"/>
      <c r="K30" s="31" t="s">
        <v>464</v>
      </c>
      <c r="L30" s="19"/>
    </row>
    <row r="31" spans="1:14" x14ac:dyDescent="0.25">
      <c r="A31" t="s">
        <v>554</v>
      </c>
      <c r="B31" t="s">
        <v>558</v>
      </c>
      <c r="C31">
        <v>448.96550000000002</v>
      </c>
      <c r="D31">
        <v>173.02</v>
      </c>
      <c r="E31">
        <v>10.999000000000001</v>
      </c>
      <c r="F31" s="16" t="s">
        <v>610</v>
      </c>
      <c r="G31" s="16" t="s">
        <v>464</v>
      </c>
      <c r="H31">
        <v>282.98</v>
      </c>
      <c r="I31" t="s">
        <v>614</v>
      </c>
      <c r="K31" t="s">
        <v>455</v>
      </c>
      <c r="L31" t="s">
        <v>640</v>
      </c>
    </row>
    <row r="32" spans="1:14" x14ac:dyDescent="0.25">
      <c r="A32" t="s">
        <v>554</v>
      </c>
      <c r="B32" t="s">
        <v>558</v>
      </c>
      <c r="C32">
        <v>448.96550000000002</v>
      </c>
      <c r="D32">
        <v>173.02</v>
      </c>
      <c r="E32">
        <v>10.999000000000001</v>
      </c>
      <c r="F32" s="16" t="s">
        <v>610</v>
      </c>
      <c r="G32" s="16" t="s">
        <v>464</v>
      </c>
      <c r="H32">
        <v>262.98</v>
      </c>
      <c r="I32" t="s">
        <v>613</v>
      </c>
      <c r="K32" t="s">
        <v>455</v>
      </c>
      <c r="L32" t="s">
        <v>639</v>
      </c>
    </row>
    <row r="33" spans="1:12" x14ac:dyDescent="0.25">
      <c r="A33" t="s">
        <v>554</v>
      </c>
      <c r="B33" t="s">
        <v>558</v>
      </c>
      <c r="C33">
        <v>448.96550000000002</v>
      </c>
      <c r="D33">
        <v>173.02</v>
      </c>
      <c r="E33">
        <v>10.999000000000001</v>
      </c>
      <c r="F33" s="16" t="s">
        <v>610</v>
      </c>
      <c r="G33" s="16" t="s">
        <v>464</v>
      </c>
      <c r="H33" t="s">
        <v>615</v>
      </c>
      <c r="I33" t="s">
        <v>615</v>
      </c>
      <c r="K33" t="s">
        <v>455</v>
      </c>
      <c r="L33" t="s">
        <v>643</v>
      </c>
    </row>
    <row r="34" spans="1:12" x14ac:dyDescent="0.25">
      <c r="A34" t="s">
        <v>554</v>
      </c>
      <c r="B34" t="s">
        <v>558</v>
      </c>
      <c r="C34">
        <v>448.96550000000002</v>
      </c>
      <c r="D34">
        <v>173.02</v>
      </c>
      <c r="E34">
        <v>10.999000000000001</v>
      </c>
      <c r="F34" s="16" t="s">
        <v>610</v>
      </c>
      <c r="G34" s="16" t="s">
        <v>464</v>
      </c>
      <c r="H34" t="s">
        <v>496</v>
      </c>
      <c r="I34" t="s">
        <v>496</v>
      </c>
      <c r="K34" t="s">
        <v>455</v>
      </c>
      <c r="L34" t="s">
        <v>638</v>
      </c>
    </row>
    <row r="35" spans="1:12" x14ac:dyDescent="0.25">
      <c r="A35" t="s">
        <v>554</v>
      </c>
      <c r="B35" t="s">
        <v>558</v>
      </c>
      <c r="C35">
        <v>448.96550000000002</v>
      </c>
      <c r="D35">
        <v>173.02</v>
      </c>
      <c r="E35">
        <v>10.999000000000001</v>
      </c>
      <c r="F35" s="16" t="s">
        <v>610</v>
      </c>
      <c r="G35" s="16" t="s">
        <v>464</v>
      </c>
      <c r="H35">
        <v>106.99</v>
      </c>
      <c r="J35">
        <v>106.9973</v>
      </c>
      <c r="K35">
        <v>-1</v>
      </c>
      <c r="L35" t="s">
        <v>638</v>
      </c>
    </row>
    <row r="36" spans="1:12" x14ac:dyDescent="0.25">
      <c r="A36" t="s">
        <v>554</v>
      </c>
      <c r="B36" t="s">
        <v>558</v>
      </c>
      <c r="C36">
        <v>448.96550000000002</v>
      </c>
      <c r="D36">
        <v>173.02</v>
      </c>
      <c r="E36">
        <v>10.999000000000001</v>
      </c>
      <c r="F36" s="16" t="s">
        <v>610</v>
      </c>
      <c r="G36" s="16" t="s">
        <v>464</v>
      </c>
      <c r="H36">
        <v>72.989999999999995</v>
      </c>
      <c r="J36">
        <v>72.995800000000003</v>
      </c>
      <c r="K36">
        <v>-1</v>
      </c>
      <c r="L36" t="s">
        <v>638</v>
      </c>
    </row>
    <row r="37" spans="1:12" x14ac:dyDescent="0.25">
      <c r="A37" t="s">
        <v>554</v>
      </c>
      <c r="B37" t="s">
        <v>558</v>
      </c>
      <c r="C37">
        <v>448.96550000000002</v>
      </c>
      <c r="D37">
        <v>173.02</v>
      </c>
      <c r="E37">
        <v>10.999000000000001</v>
      </c>
      <c r="F37" s="16" t="s">
        <v>610</v>
      </c>
      <c r="G37" s="16" t="s">
        <v>464</v>
      </c>
      <c r="H37" t="s">
        <v>631</v>
      </c>
      <c r="I37" t="s">
        <v>631</v>
      </c>
      <c r="K37" t="s">
        <v>455</v>
      </c>
      <c r="L37" t="s">
        <v>638</v>
      </c>
    </row>
    <row r="38" spans="1:12" x14ac:dyDescent="0.25">
      <c r="A38" s="19" t="s">
        <v>554</v>
      </c>
      <c r="B38" s="19" t="s">
        <v>573</v>
      </c>
      <c r="C38" s="19">
        <v>592.94949999999994</v>
      </c>
      <c r="D38" s="19"/>
      <c r="E38" s="19">
        <v>10.999000000000001</v>
      </c>
      <c r="F38" s="31" t="s">
        <v>619</v>
      </c>
      <c r="G38" s="31" t="s">
        <v>539</v>
      </c>
      <c r="H38" s="19" t="s">
        <v>491</v>
      </c>
      <c r="I38" s="31" t="s">
        <v>619</v>
      </c>
      <c r="K38" s="31" t="s">
        <v>539</v>
      </c>
    </row>
    <row r="39" spans="1:12" x14ac:dyDescent="0.25">
      <c r="A39" s="19" t="s">
        <v>554</v>
      </c>
      <c r="B39" s="19" t="s">
        <v>573</v>
      </c>
      <c r="C39" s="19">
        <v>592.94949999999994</v>
      </c>
      <c r="D39" s="19">
        <v>173.02</v>
      </c>
      <c r="E39" s="19">
        <v>10.999000000000001</v>
      </c>
      <c r="F39" s="31" t="s">
        <v>619</v>
      </c>
      <c r="G39" s="31" t="s">
        <v>464</v>
      </c>
      <c r="H39" s="19" t="s">
        <v>491</v>
      </c>
      <c r="I39" s="31" t="s">
        <v>619</v>
      </c>
      <c r="J39" s="19"/>
      <c r="K39" s="31" t="s">
        <v>464</v>
      </c>
      <c r="L39" s="19"/>
    </row>
    <row r="40" spans="1:12" x14ac:dyDescent="0.25">
      <c r="A40" t="s">
        <v>554</v>
      </c>
      <c r="B40" t="s">
        <v>573</v>
      </c>
      <c r="C40">
        <v>592.94949999999994</v>
      </c>
      <c r="D40">
        <v>173.02</v>
      </c>
      <c r="E40">
        <v>10.999000000000001</v>
      </c>
      <c r="F40" s="16" t="s">
        <v>619</v>
      </c>
      <c r="G40" s="16" t="s">
        <v>464</v>
      </c>
      <c r="H40" t="s">
        <v>631</v>
      </c>
      <c r="I40" t="s">
        <v>631</v>
      </c>
      <c r="K40" t="s">
        <v>455</v>
      </c>
      <c r="L40" t="s">
        <v>643</v>
      </c>
    </row>
    <row r="41" spans="1:12" x14ac:dyDescent="0.25">
      <c r="A41" t="s">
        <v>554</v>
      </c>
      <c r="B41" t="s">
        <v>573</v>
      </c>
      <c r="C41">
        <v>592.94949999999994</v>
      </c>
      <c r="D41">
        <v>173.02</v>
      </c>
      <c r="E41">
        <v>10.999000000000001</v>
      </c>
      <c r="F41" s="16" t="s">
        <v>619</v>
      </c>
      <c r="G41" s="16" t="s">
        <v>464</v>
      </c>
      <c r="H41">
        <v>282.98</v>
      </c>
      <c r="I41" t="s">
        <v>614</v>
      </c>
      <c r="K41" t="s">
        <v>455</v>
      </c>
      <c r="L41" t="s">
        <v>640</v>
      </c>
    </row>
    <row r="42" spans="1:12" x14ac:dyDescent="0.25">
      <c r="A42" t="s">
        <v>554</v>
      </c>
      <c r="B42" t="s">
        <v>573</v>
      </c>
      <c r="C42">
        <v>592.94949999999994</v>
      </c>
      <c r="D42">
        <v>173.02</v>
      </c>
      <c r="E42">
        <v>10.999000000000001</v>
      </c>
      <c r="F42" s="16" t="s">
        <v>619</v>
      </c>
      <c r="G42" s="16" t="s">
        <v>464</v>
      </c>
      <c r="H42">
        <v>262.98</v>
      </c>
      <c r="I42" t="s">
        <v>613</v>
      </c>
      <c r="K42" t="s">
        <v>455</v>
      </c>
      <c r="L42" t="s">
        <v>639</v>
      </c>
    </row>
    <row r="43" spans="1:12" x14ac:dyDescent="0.25">
      <c r="A43" t="s">
        <v>554</v>
      </c>
      <c r="B43" t="s">
        <v>573</v>
      </c>
      <c r="C43">
        <v>592.94949999999994</v>
      </c>
      <c r="D43">
        <v>173.02</v>
      </c>
      <c r="E43">
        <v>10.999000000000001</v>
      </c>
      <c r="F43" s="16" t="s">
        <v>619</v>
      </c>
      <c r="G43" s="16" t="s">
        <v>464</v>
      </c>
      <c r="H43" t="s">
        <v>615</v>
      </c>
      <c r="I43" t="s">
        <v>615</v>
      </c>
      <c r="K43" t="s">
        <v>455</v>
      </c>
      <c r="L43" t="s">
        <v>643</v>
      </c>
    </row>
    <row r="44" spans="1:12" x14ac:dyDescent="0.25">
      <c r="A44" s="19" t="s">
        <v>554</v>
      </c>
      <c r="B44" s="19" t="s">
        <v>574</v>
      </c>
      <c r="C44" s="19">
        <v>628.91890000000001</v>
      </c>
      <c r="D44" s="19">
        <v>176</v>
      </c>
      <c r="E44" s="19">
        <v>10.999000000000001</v>
      </c>
      <c r="F44" s="31" t="s">
        <v>612</v>
      </c>
      <c r="G44" s="31" t="s">
        <v>464</v>
      </c>
      <c r="H44" s="19" t="s">
        <v>491</v>
      </c>
      <c r="I44" s="31" t="s">
        <v>612</v>
      </c>
      <c r="J44" s="19"/>
      <c r="K44" s="31" t="s">
        <v>464</v>
      </c>
      <c r="L44" s="19"/>
    </row>
    <row r="45" spans="1:12" x14ac:dyDescent="0.25">
      <c r="A45" t="s">
        <v>554</v>
      </c>
      <c r="B45" t="s">
        <v>574</v>
      </c>
      <c r="C45">
        <v>628.91890000000001</v>
      </c>
      <c r="D45">
        <v>176</v>
      </c>
      <c r="E45">
        <v>10.999000000000001</v>
      </c>
      <c r="F45" s="16" t="s">
        <v>612</v>
      </c>
      <c r="G45" s="16" t="s">
        <v>464</v>
      </c>
      <c r="H45" t="s">
        <v>632</v>
      </c>
      <c r="I45" t="s">
        <v>632</v>
      </c>
      <c r="K45" t="s">
        <v>455</v>
      </c>
      <c r="L45" t="s">
        <v>638</v>
      </c>
    </row>
    <row r="46" spans="1:12" x14ac:dyDescent="0.25">
      <c r="A46" t="s">
        <v>554</v>
      </c>
      <c r="B46" t="s">
        <v>574</v>
      </c>
      <c r="C46">
        <v>628.91890000000001</v>
      </c>
      <c r="D46">
        <v>176</v>
      </c>
      <c r="E46">
        <v>10.999000000000001</v>
      </c>
      <c r="F46" s="16" t="s">
        <v>612</v>
      </c>
      <c r="G46" s="16" t="s">
        <v>464</v>
      </c>
      <c r="H46" t="s">
        <v>631</v>
      </c>
      <c r="I46" t="s">
        <v>631</v>
      </c>
      <c r="K46" t="s">
        <v>455</v>
      </c>
      <c r="L46" t="s">
        <v>645</v>
      </c>
    </row>
    <row r="47" spans="1:12" x14ac:dyDescent="0.25">
      <c r="A47" t="s">
        <v>554</v>
      </c>
      <c r="B47" t="s">
        <v>574</v>
      </c>
      <c r="C47">
        <v>628.91890000000001</v>
      </c>
      <c r="D47">
        <v>176</v>
      </c>
      <c r="E47">
        <v>10.999000000000001</v>
      </c>
      <c r="F47" s="16" t="s">
        <v>612</v>
      </c>
      <c r="G47" s="16" t="s">
        <v>464</v>
      </c>
      <c r="H47" t="s">
        <v>497</v>
      </c>
      <c r="I47" t="s">
        <v>497</v>
      </c>
      <c r="K47" t="s">
        <v>455</v>
      </c>
      <c r="L47" t="s">
        <v>651</v>
      </c>
    </row>
    <row r="48" spans="1:12" x14ac:dyDescent="0.25">
      <c r="A48" t="s">
        <v>554</v>
      </c>
      <c r="B48" t="s">
        <v>574</v>
      </c>
      <c r="C48">
        <v>628.91890000000001</v>
      </c>
      <c r="D48">
        <v>176</v>
      </c>
      <c r="E48">
        <v>10.999000000000001</v>
      </c>
      <c r="F48" s="16" t="s">
        <v>612</v>
      </c>
      <c r="G48" s="16" t="s">
        <v>464</v>
      </c>
      <c r="H48">
        <v>282.98</v>
      </c>
      <c r="I48" t="s">
        <v>614</v>
      </c>
      <c r="K48" t="s">
        <v>455</v>
      </c>
      <c r="L48" t="s">
        <v>640</v>
      </c>
    </row>
    <row r="49" spans="1:14" x14ac:dyDescent="0.25">
      <c r="A49" t="s">
        <v>554</v>
      </c>
      <c r="B49" t="s">
        <v>574</v>
      </c>
      <c r="C49">
        <v>628.91890000000001</v>
      </c>
      <c r="D49">
        <v>176</v>
      </c>
      <c r="E49">
        <v>10.999000000000001</v>
      </c>
      <c r="F49" s="16" t="s">
        <v>612</v>
      </c>
      <c r="G49" s="16" t="s">
        <v>464</v>
      </c>
      <c r="H49">
        <v>262.98</v>
      </c>
      <c r="I49" t="s">
        <v>613</v>
      </c>
      <c r="K49" t="s">
        <v>455</v>
      </c>
      <c r="L49" t="s">
        <v>639</v>
      </c>
    </row>
    <row r="50" spans="1:14" x14ac:dyDescent="0.25">
      <c r="A50" s="19" t="s">
        <v>554</v>
      </c>
      <c r="B50" s="19" t="s">
        <v>633</v>
      </c>
      <c r="C50" s="19">
        <v>414.94920000000002</v>
      </c>
      <c r="D50" s="19">
        <v>171</v>
      </c>
      <c r="E50" s="19">
        <v>11</v>
      </c>
      <c r="F50" s="31"/>
      <c r="G50" s="31">
        <v>-1</v>
      </c>
      <c r="H50" s="19" t="s">
        <v>491</v>
      </c>
      <c r="I50" s="19"/>
      <c r="J50" s="19">
        <v>414.94920000000002</v>
      </c>
      <c r="K50" s="31">
        <v>-1</v>
      </c>
      <c r="L50" t="s">
        <v>656</v>
      </c>
    </row>
    <row r="51" spans="1:14" x14ac:dyDescent="0.25">
      <c r="A51" s="19" t="s">
        <v>554</v>
      </c>
      <c r="B51" s="19" t="s">
        <v>634</v>
      </c>
      <c r="C51" s="19">
        <v>414.94920000000002</v>
      </c>
      <c r="D51" s="19">
        <v>178</v>
      </c>
      <c r="E51" s="19">
        <v>11</v>
      </c>
      <c r="F51" s="31"/>
      <c r="G51" s="31">
        <v>-1</v>
      </c>
      <c r="H51" s="19" t="s">
        <v>491</v>
      </c>
      <c r="I51" s="19"/>
      <c r="J51" s="19">
        <v>414.94920000000002</v>
      </c>
      <c r="K51" s="31">
        <v>-1</v>
      </c>
      <c r="L51" t="s">
        <v>655</v>
      </c>
    </row>
    <row r="52" spans="1:14" x14ac:dyDescent="0.25">
      <c r="A52" s="19" t="s">
        <v>554</v>
      </c>
      <c r="B52" s="19">
        <v>450</v>
      </c>
      <c r="C52" s="19">
        <v>450.928</v>
      </c>
      <c r="D52" s="19">
        <v>178</v>
      </c>
      <c r="E52" s="19">
        <v>11</v>
      </c>
      <c r="F52" s="31"/>
      <c r="G52" s="31">
        <v>-1</v>
      </c>
      <c r="H52" s="19" t="s">
        <v>491</v>
      </c>
      <c r="I52" s="19"/>
      <c r="J52" s="19">
        <v>450.928</v>
      </c>
      <c r="K52" s="31">
        <v>-1</v>
      </c>
      <c r="L52" t="s">
        <v>673</v>
      </c>
      <c r="N52" t="s">
        <v>674</v>
      </c>
    </row>
    <row r="53" spans="1:14" x14ac:dyDescent="0.25">
      <c r="A53" s="70" t="s">
        <v>554</v>
      </c>
      <c r="B53" s="70">
        <v>450</v>
      </c>
      <c r="C53" s="70">
        <v>450.928</v>
      </c>
      <c r="D53" s="70">
        <v>178</v>
      </c>
      <c r="E53" s="70">
        <v>11</v>
      </c>
      <c r="F53" s="71"/>
      <c r="G53" s="71">
        <v>-1</v>
      </c>
      <c r="H53" t="s">
        <v>617</v>
      </c>
      <c r="I53" t="s">
        <v>617</v>
      </c>
      <c r="K53" t="s">
        <v>455</v>
      </c>
      <c r="L53" t="s">
        <v>664</v>
      </c>
      <c r="N53">
        <f>(450.928-450.9208)/450.9208*1000000</f>
        <v>15.967327300074963</v>
      </c>
    </row>
    <row r="54" spans="1:14" x14ac:dyDescent="0.25">
      <c r="A54" s="70" t="s">
        <v>554</v>
      </c>
      <c r="B54" s="70">
        <v>450</v>
      </c>
      <c r="C54" s="70">
        <v>450.928</v>
      </c>
      <c r="D54" s="70">
        <v>178</v>
      </c>
      <c r="E54" s="70">
        <v>11</v>
      </c>
      <c r="F54" s="71"/>
      <c r="G54" s="71">
        <v>-1</v>
      </c>
      <c r="H54" s="70">
        <v>281.99</v>
      </c>
      <c r="I54" s="70"/>
      <c r="J54" s="70">
        <v>281.99290000000002</v>
      </c>
      <c r="K54" s="71">
        <v>-1</v>
      </c>
      <c r="L54" t="s">
        <v>671</v>
      </c>
      <c r="N54" t="s">
        <v>668</v>
      </c>
    </row>
    <row r="55" spans="1:14" x14ac:dyDescent="0.25">
      <c r="A55" s="70" t="s">
        <v>554</v>
      </c>
      <c r="B55" s="70">
        <v>450</v>
      </c>
      <c r="C55" s="70">
        <v>450.928</v>
      </c>
      <c r="D55" s="70">
        <v>178</v>
      </c>
      <c r="E55" s="70">
        <v>11</v>
      </c>
      <c r="F55" s="71"/>
      <c r="G55" s="71">
        <v>-1</v>
      </c>
      <c r="H55" s="70">
        <v>283.99</v>
      </c>
      <c r="I55" s="70"/>
      <c r="J55">
        <v>283.98950000000002</v>
      </c>
      <c r="K55" s="71">
        <v>-1</v>
      </c>
      <c r="L55" t="s">
        <v>660</v>
      </c>
    </row>
    <row r="56" spans="1:14" x14ac:dyDescent="0.25">
      <c r="A56" s="70" t="s">
        <v>554</v>
      </c>
      <c r="B56" s="70">
        <v>450</v>
      </c>
      <c r="C56" s="70">
        <v>450.928</v>
      </c>
      <c r="D56" s="70">
        <v>178</v>
      </c>
      <c r="E56" s="70">
        <v>11</v>
      </c>
      <c r="F56" s="71"/>
      <c r="G56" s="71">
        <v>-1</v>
      </c>
      <c r="H56" s="70">
        <v>261.99</v>
      </c>
      <c r="I56" s="70"/>
      <c r="J56">
        <v>261.98520000000002</v>
      </c>
      <c r="K56" s="71">
        <v>-1</v>
      </c>
      <c r="L56" t="s">
        <v>670</v>
      </c>
    </row>
    <row r="57" spans="1:14" x14ac:dyDescent="0.25">
      <c r="A57" s="70" t="s">
        <v>554</v>
      </c>
      <c r="B57" s="70">
        <v>450</v>
      </c>
      <c r="C57" s="70">
        <v>450.928</v>
      </c>
      <c r="D57" s="70">
        <v>178</v>
      </c>
      <c r="E57" s="70">
        <v>11</v>
      </c>
      <c r="F57" s="71"/>
      <c r="G57" s="71">
        <v>-1</v>
      </c>
      <c r="H57" s="70">
        <v>243.99</v>
      </c>
      <c r="I57" s="70"/>
      <c r="J57" s="70">
        <v>243.9913</v>
      </c>
      <c r="K57" s="71">
        <v>-1</v>
      </c>
      <c r="L57" t="s">
        <v>660</v>
      </c>
    </row>
    <row r="58" spans="1:14" x14ac:dyDescent="0.25">
      <c r="A58" s="70" t="s">
        <v>554</v>
      </c>
      <c r="B58" s="70">
        <v>450</v>
      </c>
      <c r="C58" s="70">
        <v>450.928</v>
      </c>
      <c r="D58" s="70">
        <v>178</v>
      </c>
      <c r="E58" s="70">
        <v>11</v>
      </c>
      <c r="F58" s="71"/>
      <c r="G58" s="71">
        <v>-1</v>
      </c>
      <c r="H58" s="16">
        <v>246.01</v>
      </c>
      <c r="I58" s="16"/>
      <c r="J58" s="70">
        <v>246.01480000000001</v>
      </c>
      <c r="K58" s="71">
        <v>-1</v>
      </c>
      <c r="L58" s="16" t="s">
        <v>669</v>
      </c>
    </row>
    <row r="59" spans="1:14" x14ac:dyDescent="0.25">
      <c r="A59" s="70" t="s">
        <v>554</v>
      </c>
      <c r="B59" s="70">
        <v>450</v>
      </c>
      <c r="C59" s="70">
        <v>450.928</v>
      </c>
      <c r="D59" s="70">
        <v>178</v>
      </c>
      <c r="E59" s="70">
        <v>11</v>
      </c>
      <c r="F59" s="71"/>
      <c r="G59" s="71">
        <v>-1</v>
      </c>
      <c r="H59" s="16" t="s">
        <v>650</v>
      </c>
      <c r="I59" s="16"/>
      <c r="J59">
        <v>245.99270000000001</v>
      </c>
      <c r="K59" t="s">
        <v>455</v>
      </c>
      <c r="L59" s="16" t="s">
        <v>672</v>
      </c>
    </row>
    <row r="60" spans="1:14" x14ac:dyDescent="0.25">
      <c r="A60" s="70"/>
      <c r="B60" s="70"/>
      <c r="C60" s="70"/>
      <c r="D60" s="70"/>
      <c r="E60" s="70"/>
      <c r="F60" s="71"/>
      <c r="G60" s="71"/>
      <c r="H60" s="70"/>
      <c r="I60" s="70"/>
      <c r="J60" s="70"/>
      <c r="K60" s="71"/>
    </row>
    <row r="61" spans="1:14" x14ac:dyDescent="0.25">
      <c r="A61" s="70"/>
      <c r="B61" s="70"/>
      <c r="C61" s="70"/>
      <c r="D61" s="70"/>
      <c r="E61" s="70"/>
      <c r="F61" s="71"/>
      <c r="G61" s="71"/>
      <c r="H61" s="70"/>
      <c r="I61" s="70"/>
      <c r="J61" s="70"/>
      <c r="K61" s="70"/>
    </row>
    <row r="62" spans="1:14" x14ac:dyDescent="0.25">
      <c r="J62" s="70"/>
    </row>
    <row r="63" spans="1:14" x14ac:dyDescent="0.25">
      <c r="A63" s="19" t="s">
        <v>646</v>
      </c>
    </row>
    <row r="64" spans="1:14" x14ac:dyDescent="0.25">
      <c r="A64" s="19" t="s">
        <v>342</v>
      </c>
      <c r="B64" s="19" t="s">
        <v>465</v>
      </c>
      <c r="C64" s="19" t="s">
        <v>346</v>
      </c>
      <c r="D64" s="19" t="s">
        <v>344</v>
      </c>
      <c r="E64" s="19" t="s">
        <v>345</v>
      </c>
      <c r="F64" s="19" t="s">
        <v>452</v>
      </c>
      <c r="G64" s="19" t="s">
        <v>453</v>
      </c>
      <c r="H64" s="19" t="s">
        <v>487</v>
      </c>
      <c r="I64" s="19" t="s">
        <v>488</v>
      </c>
      <c r="J64" s="19" t="s">
        <v>489</v>
      </c>
      <c r="K64" s="19" t="s">
        <v>490</v>
      </c>
      <c r="L64" s="19"/>
    </row>
    <row r="65" spans="1:12" x14ac:dyDescent="0.25">
      <c r="A65" s="19" t="s">
        <v>554</v>
      </c>
      <c r="B65" s="19" t="s">
        <v>558</v>
      </c>
      <c r="C65" s="19">
        <v>448.96550000000002</v>
      </c>
      <c r="D65" s="19">
        <v>173.02</v>
      </c>
      <c r="E65" s="19">
        <v>10.999000000000001</v>
      </c>
      <c r="F65" s="31" t="s">
        <v>610</v>
      </c>
      <c r="G65" s="31" t="s">
        <v>464</v>
      </c>
      <c r="H65" s="19" t="s">
        <v>491</v>
      </c>
      <c r="I65" s="31" t="s">
        <v>610</v>
      </c>
      <c r="J65" s="19"/>
      <c r="K65" s="31" t="s">
        <v>464</v>
      </c>
      <c r="L65" s="19"/>
    </row>
    <row r="66" spans="1:12" x14ac:dyDescent="0.25">
      <c r="A66" t="s">
        <v>554</v>
      </c>
      <c r="B66" t="s">
        <v>558</v>
      </c>
      <c r="C66">
        <v>448.96550000000002</v>
      </c>
      <c r="D66">
        <v>173.02</v>
      </c>
      <c r="E66">
        <v>10.999000000000001</v>
      </c>
      <c r="F66" s="16" t="s">
        <v>610</v>
      </c>
      <c r="G66" s="16" t="s">
        <v>464</v>
      </c>
      <c r="H66">
        <v>282</v>
      </c>
      <c r="I66" t="s">
        <v>614</v>
      </c>
      <c r="K66" t="s">
        <v>455</v>
      </c>
      <c r="L66" t="s">
        <v>640</v>
      </c>
    </row>
    <row r="67" spans="1:12" x14ac:dyDescent="0.25">
      <c r="A67" t="s">
        <v>554</v>
      </c>
      <c r="B67" t="s">
        <v>558</v>
      </c>
      <c r="C67">
        <v>448.96550000000002</v>
      </c>
      <c r="D67">
        <v>173.02</v>
      </c>
      <c r="E67">
        <v>10.999000000000001</v>
      </c>
      <c r="F67" s="16" t="s">
        <v>610</v>
      </c>
      <c r="G67" s="16" t="s">
        <v>464</v>
      </c>
      <c r="H67">
        <v>262</v>
      </c>
      <c r="I67" t="s">
        <v>613</v>
      </c>
      <c r="K67" t="s">
        <v>455</v>
      </c>
      <c r="L67" t="s">
        <v>639</v>
      </c>
    </row>
    <row r="68" spans="1:12" x14ac:dyDescent="0.25">
      <c r="A68" t="s">
        <v>554</v>
      </c>
      <c r="B68" t="s">
        <v>558</v>
      </c>
      <c r="C68">
        <v>448.96550000000002</v>
      </c>
      <c r="D68">
        <v>173.02</v>
      </c>
      <c r="E68">
        <v>10.999000000000001</v>
      </c>
      <c r="F68" s="16" t="s">
        <v>610</v>
      </c>
      <c r="G68" s="16" t="s">
        <v>464</v>
      </c>
      <c r="H68" t="s">
        <v>615</v>
      </c>
      <c r="I68" t="s">
        <v>615</v>
      </c>
      <c r="K68" t="s">
        <v>455</v>
      </c>
      <c r="L68" t="s">
        <v>643</v>
      </c>
    </row>
    <row r="69" spans="1:12" x14ac:dyDescent="0.25">
      <c r="A69" t="s">
        <v>554</v>
      </c>
      <c r="B69" t="s">
        <v>558</v>
      </c>
      <c r="C69">
        <v>448.96550000000002</v>
      </c>
      <c r="D69">
        <v>173.02</v>
      </c>
      <c r="E69">
        <v>10.999000000000001</v>
      </c>
      <c r="F69" s="16" t="s">
        <v>610</v>
      </c>
      <c r="G69" s="16" t="s">
        <v>464</v>
      </c>
      <c r="H69" t="s">
        <v>496</v>
      </c>
      <c r="I69" t="s">
        <v>496</v>
      </c>
      <c r="K69" t="s">
        <v>455</v>
      </c>
      <c r="L69" t="s">
        <v>638</v>
      </c>
    </row>
    <row r="70" spans="1:12" x14ac:dyDescent="0.25">
      <c r="A70" t="s">
        <v>554</v>
      </c>
      <c r="B70" t="s">
        <v>558</v>
      </c>
      <c r="C70">
        <v>448.96550000000002</v>
      </c>
      <c r="D70">
        <v>173.02</v>
      </c>
      <c r="E70">
        <v>10.999000000000001</v>
      </c>
      <c r="F70" s="16" t="s">
        <v>610</v>
      </c>
      <c r="G70" s="16" t="s">
        <v>464</v>
      </c>
      <c r="H70" t="s">
        <v>616</v>
      </c>
      <c r="I70" t="s">
        <v>616</v>
      </c>
      <c r="K70" t="s">
        <v>455</v>
      </c>
      <c r="L70" t="s">
        <v>642</v>
      </c>
    </row>
    <row r="71" spans="1:12" x14ac:dyDescent="0.25">
      <c r="A71" t="s">
        <v>554</v>
      </c>
      <c r="B71" t="s">
        <v>558</v>
      </c>
      <c r="C71">
        <v>448.96550000000002</v>
      </c>
      <c r="D71">
        <v>173.02</v>
      </c>
      <c r="E71">
        <v>10.999000000000001</v>
      </c>
      <c r="F71" s="16" t="s">
        <v>610</v>
      </c>
      <c r="G71" s="16" t="s">
        <v>464</v>
      </c>
      <c r="H71" t="s">
        <v>504</v>
      </c>
      <c r="I71" t="s">
        <v>504</v>
      </c>
      <c r="K71" t="s">
        <v>455</v>
      </c>
      <c r="L71" t="s">
        <v>642</v>
      </c>
    </row>
    <row r="72" spans="1:12" x14ac:dyDescent="0.25">
      <c r="A72" t="s">
        <v>554</v>
      </c>
      <c r="B72" t="s">
        <v>558</v>
      </c>
      <c r="C72">
        <v>448.96550000000002</v>
      </c>
      <c r="D72">
        <v>173.02</v>
      </c>
      <c r="E72">
        <v>10.999000000000001</v>
      </c>
      <c r="F72" s="16" t="s">
        <v>610</v>
      </c>
      <c r="G72" s="16" t="s">
        <v>464</v>
      </c>
      <c r="H72" t="s">
        <v>509</v>
      </c>
      <c r="I72" t="s">
        <v>509</v>
      </c>
      <c r="K72" t="s">
        <v>455</v>
      </c>
      <c r="L72" t="s">
        <v>642</v>
      </c>
    </row>
    <row r="73" spans="1:12" x14ac:dyDescent="0.25">
      <c r="A73" t="s">
        <v>554</v>
      </c>
      <c r="B73" t="s">
        <v>558</v>
      </c>
      <c r="C73">
        <v>448.96550000000002</v>
      </c>
      <c r="D73">
        <v>173.02</v>
      </c>
      <c r="E73">
        <v>10.999000000000001</v>
      </c>
      <c r="F73" s="16" t="s">
        <v>610</v>
      </c>
      <c r="G73" s="16" t="s">
        <v>464</v>
      </c>
      <c r="H73" t="s">
        <v>617</v>
      </c>
      <c r="I73" t="s">
        <v>617</v>
      </c>
      <c r="K73" t="s">
        <v>455</v>
      </c>
      <c r="L73" t="s">
        <v>642</v>
      </c>
    </row>
    <row r="74" spans="1:12" x14ac:dyDescent="0.25">
      <c r="A74" t="s">
        <v>554</v>
      </c>
      <c r="B74" t="s">
        <v>558</v>
      </c>
      <c r="C74">
        <v>448.96550000000002</v>
      </c>
      <c r="D74">
        <v>173.02</v>
      </c>
      <c r="E74">
        <v>10.999000000000001</v>
      </c>
      <c r="F74" s="16" t="s">
        <v>610</v>
      </c>
      <c r="G74" s="16" t="s">
        <v>464</v>
      </c>
      <c r="H74">
        <v>142</v>
      </c>
      <c r="J74">
        <v>142.92840000000001</v>
      </c>
      <c r="K74">
        <v>-1</v>
      </c>
      <c r="L74" t="s">
        <v>637</v>
      </c>
    </row>
    <row r="75" spans="1:12" x14ac:dyDescent="0.25">
      <c r="A75" t="s">
        <v>554</v>
      </c>
      <c r="B75" t="s">
        <v>558</v>
      </c>
      <c r="C75">
        <v>448.96550000000002</v>
      </c>
      <c r="D75">
        <v>173.02</v>
      </c>
      <c r="E75">
        <v>10.999000000000001</v>
      </c>
      <c r="F75" s="16" t="s">
        <v>610</v>
      </c>
      <c r="G75" s="16" t="s">
        <v>464</v>
      </c>
      <c r="H75">
        <v>138</v>
      </c>
      <c r="J75">
        <v>138.9718</v>
      </c>
      <c r="K75">
        <v>-1</v>
      </c>
      <c r="L75" t="s">
        <v>637</v>
      </c>
    </row>
    <row r="76" spans="1:12" x14ac:dyDescent="0.25">
      <c r="A76" t="s">
        <v>554</v>
      </c>
      <c r="B76" t="s">
        <v>558</v>
      </c>
      <c r="C76">
        <v>448.96550000000002</v>
      </c>
      <c r="D76">
        <v>173.02</v>
      </c>
      <c r="E76">
        <v>10.999000000000001</v>
      </c>
      <c r="F76" s="16" t="s">
        <v>610</v>
      </c>
      <c r="G76" s="16" t="s">
        <v>464</v>
      </c>
      <c r="H76">
        <v>121</v>
      </c>
      <c r="J76">
        <v>121.9447</v>
      </c>
      <c r="K76">
        <v>-1</v>
      </c>
      <c r="L76" t="s">
        <v>636</v>
      </c>
    </row>
    <row r="77" spans="1:12" x14ac:dyDescent="0.25">
      <c r="A77" t="s">
        <v>554</v>
      </c>
      <c r="B77" t="s">
        <v>558</v>
      </c>
      <c r="C77">
        <v>448.96550000000002</v>
      </c>
      <c r="D77">
        <v>173.02</v>
      </c>
      <c r="E77">
        <v>10.999000000000001</v>
      </c>
      <c r="F77" s="16" t="s">
        <v>610</v>
      </c>
      <c r="G77" s="16" t="s">
        <v>464</v>
      </c>
      <c r="H77">
        <v>106</v>
      </c>
      <c r="J77">
        <v>106.9973</v>
      </c>
      <c r="K77">
        <v>-1</v>
      </c>
      <c r="L77" t="s">
        <v>638</v>
      </c>
    </row>
    <row r="78" spans="1:12" x14ac:dyDescent="0.25">
      <c r="A78" t="s">
        <v>554</v>
      </c>
      <c r="B78" t="s">
        <v>558</v>
      </c>
      <c r="C78">
        <v>448.96550000000002</v>
      </c>
      <c r="D78">
        <v>173.02</v>
      </c>
      <c r="E78">
        <v>10.999000000000001</v>
      </c>
      <c r="F78" s="16" t="s">
        <v>610</v>
      </c>
      <c r="G78" s="16" t="s">
        <v>464</v>
      </c>
      <c r="H78">
        <v>72</v>
      </c>
      <c r="J78">
        <v>72.995800000000003</v>
      </c>
      <c r="K78">
        <v>-1</v>
      </c>
      <c r="L78" t="s">
        <v>638</v>
      </c>
    </row>
    <row r="79" spans="1:12" x14ac:dyDescent="0.25">
      <c r="A79" t="s">
        <v>554</v>
      </c>
      <c r="B79" t="s">
        <v>558</v>
      </c>
      <c r="C79">
        <v>448.96550000000002</v>
      </c>
      <c r="D79">
        <v>173.02</v>
      </c>
      <c r="E79">
        <v>10.999000000000001</v>
      </c>
      <c r="F79" s="16" t="s">
        <v>610</v>
      </c>
      <c r="G79" s="16" t="s">
        <v>464</v>
      </c>
      <c r="H79" t="s">
        <v>631</v>
      </c>
      <c r="I79" t="s">
        <v>631</v>
      </c>
      <c r="K79" t="s">
        <v>455</v>
      </c>
      <c r="L79" t="s">
        <v>638</v>
      </c>
    </row>
    <row r="80" spans="1:12" x14ac:dyDescent="0.25">
      <c r="A80" t="s">
        <v>554</v>
      </c>
      <c r="B80" t="s">
        <v>558</v>
      </c>
      <c r="C80">
        <v>448.96550000000002</v>
      </c>
      <c r="D80">
        <v>173.02</v>
      </c>
      <c r="E80">
        <v>10.999000000000001</v>
      </c>
      <c r="F80" s="16" t="s">
        <v>610</v>
      </c>
      <c r="G80" s="16" t="s">
        <v>464</v>
      </c>
      <c r="H80" t="s">
        <v>641</v>
      </c>
      <c r="I80" t="s">
        <v>641</v>
      </c>
      <c r="K80" t="s">
        <v>455</v>
      </c>
      <c r="L80" t="s">
        <v>642</v>
      </c>
    </row>
    <row r="81" spans="1:12" x14ac:dyDescent="0.25">
      <c r="A81" t="s">
        <v>554</v>
      </c>
      <c r="B81" t="s">
        <v>558</v>
      </c>
      <c r="C81">
        <v>448.96550000000002</v>
      </c>
      <c r="D81">
        <v>173.02</v>
      </c>
      <c r="E81">
        <v>10.999000000000001</v>
      </c>
      <c r="F81" s="16" t="s">
        <v>610</v>
      </c>
      <c r="G81" s="16" t="s">
        <v>464</v>
      </c>
      <c r="H81" t="s">
        <v>620</v>
      </c>
      <c r="I81" t="s">
        <v>620</v>
      </c>
      <c r="K81" t="s">
        <v>455</v>
      </c>
      <c r="L81" t="s">
        <v>642</v>
      </c>
    </row>
    <row r="82" spans="1:12" x14ac:dyDescent="0.25">
      <c r="A82" t="s">
        <v>554</v>
      </c>
      <c r="B82" t="s">
        <v>558</v>
      </c>
      <c r="C82">
        <v>448.96550000000002</v>
      </c>
      <c r="D82">
        <v>173.02</v>
      </c>
      <c r="E82">
        <v>10.999000000000001</v>
      </c>
      <c r="F82" s="16" t="s">
        <v>610</v>
      </c>
      <c r="G82" s="16" t="s">
        <v>464</v>
      </c>
      <c r="H82" t="s">
        <v>621</v>
      </c>
      <c r="I82" t="s">
        <v>621</v>
      </c>
      <c r="K82" t="s">
        <v>455</v>
      </c>
      <c r="L82" t="s">
        <v>642</v>
      </c>
    </row>
    <row r="83" spans="1:12" x14ac:dyDescent="0.25">
      <c r="A83" t="s">
        <v>554</v>
      </c>
      <c r="B83" t="s">
        <v>558</v>
      </c>
      <c r="C83">
        <v>448.96550000000002</v>
      </c>
      <c r="D83">
        <v>173.02</v>
      </c>
      <c r="E83">
        <v>10.999000000000001</v>
      </c>
      <c r="F83" s="16" t="s">
        <v>610</v>
      </c>
      <c r="G83" s="16" t="s">
        <v>464</v>
      </c>
      <c r="H83" t="s">
        <v>622</v>
      </c>
      <c r="I83" t="s">
        <v>622</v>
      </c>
      <c r="K83" t="s">
        <v>455</v>
      </c>
      <c r="L83" t="s">
        <v>642</v>
      </c>
    </row>
    <row r="84" spans="1:12" x14ac:dyDescent="0.25">
      <c r="A84" s="19" t="s">
        <v>554</v>
      </c>
      <c r="B84" s="19" t="s">
        <v>573</v>
      </c>
      <c r="C84" s="19">
        <v>592.94949999999994</v>
      </c>
      <c r="D84" s="19">
        <v>173.02</v>
      </c>
      <c r="E84" s="19">
        <v>10.999000000000001</v>
      </c>
      <c r="F84" s="31" t="s">
        <v>619</v>
      </c>
      <c r="G84" s="31" t="s">
        <v>464</v>
      </c>
      <c r="H84" s="19" t="s">
        <v>491</v>
      </c>
      <c r="I84" s="31" t="s">
        <v>619</v>
      </c>
      <c r="K84" s="31" t="s">
        <v>618</v>
      </c>
    </row>
    <row r="85" spans="1:12" x14ac:dyDescent="0.25">
      <c r="A85" s="19" t="s">
        <v>554</v>
      </c>
      <c r="B85" s="19" t="s">
        <v>573</v>
      </c>
      <c r="C85" s="19">
        <v>592.94949999999994</v>
      </c>
      <c r="D85" s="19">
        <v>173.02</v>
      </c>
      <c r="E85" s="19">
        <v>10.999000000000001</v>
      </c>
      <c r="F85" s="31" t="s">
        <v>619</v>
      </c>
      <c r="G85" s="31" t="s">
        <v>464</v>
      </c>
      <c r="H85" s="19" t="s">
        <v>491</v>
      </c>
      <c r="I85" s="31" t="s">
        <v>619</v>
      </c>
      <c r="J85" s="19"/>
      <c r="K85" s="31" t="s">
        <v>464</v>
      </c>
      <c r="L85" s="19"/>
    </row>
    <row r="86" spans="1:12" x14ac:dyDescent="0.25">
      <c r="A86" t="s">
        <v>554</v>
      </c>
      <c r="B86" t="s">
        <v>573</v>
      </c>
      <c r="C86">
        <v>592.94949999999994</v>
      </c>
      <c r="D86">
        <v>173.02</v>
      </c>
      <c r="E86">
        <v>10.999000000000001</v>
      </c>
      <c r="F86" s="16" t="s">
        <v>619</v>
      </c>
      <c r="G86" s="16" t="s">
        <v>464</v>
      </c>
      <c r="H86">
        <v>448</v>
      </c>
      <c r="I86" s="16" t="s">
        <v>611</v>
      </c>
      <c r="K86" t="s">
        <v>455</v>
      </c>
      <c r="L86" t="s">
        <v>644</v>
      </c>
    </row>
    <row r="87" spans="1:12" x14ac:dyDescent="0.25">
      <c r="A87" t="s">
        <v>554</v>
      </c>
      <c r="B87" t="s">
        <v>573</v>
      </c>
      <c r="C87">
        <v>592.94949999999994</v>
      </c>
      <c r="D87">
        <v>173.02</v>
      </c>
      <c r="E87">
        <v>10.999000000000001</v>
      </c>
      <c r="F87" s="16" t="s">
        <v>619</v>
      </c>
      <c r="G87" s="16" t="s">
        <v>464</v>
      </c>
      <c r="H87" t="s">
        <v>623</v>
      </c>
      <c r="I87" t="s">
        <v>623</v>
      </c>
      <c r="K87" t="s">
        <v>455</v>
      </c>
      <c r="L87" t="s">
        <v>642</v>
      </c>
    </row>
    <row r="88" spans="1:12" x14ac:dyDescent="0.25">
      <c r="A88" t="s">
        <v>554</v>
      </c>
      <c r="B88" t="s">
        <v>573</v>
      </c>
      <c r="C88">
        <v>592.94949999999994</v>
      </c>
      <c r="D88">
        <v>173.02</v>
      </c>
      <c r="E88">
        <v>10.999000000000001</v>
      </c>
      <c r="F88" s="16" t="s">
        <v>619</v>
      </c>
      <c r="G88" s="16" t="s">
        <v>464</v>
      </c>
      <c r="H88" t="s">
        <v>631</v>
      </c>
      <c r="I88" t="s">
        <v>631</v>
      </c>
      <c r="K88" t="s">
        <v>455</v>
      </c>
      <c r="L88" t="s">
        <v>643</v>
      </c>
    </row>
    <row r="89" spans="1:12" x14ac:dyDescent="0.25">
      <c r="A89" t="s">
        <v>554</v>
      </c>
      <c r="B89" t="s">
        <v>573</v>
      </c>
      <c r="C89">
        <v>592.94949999999994</v>
      </c>
      <c r="D89">
        <v>173.02</v>
      </c>
      <c r="E89">
        <v>10.999000000000001</v>
      </c>
      <c r="F89" s="16" t="s">
        <v>619</v>
      </c>
      <c r="G89" s="16" t="s">
        <v>464</v>
      </c>
      <c r="H89" t="s">
        <v>624</v>
      </c>
      <c r="I89" t="s">
        <v>624</v>
      </c>
      <c r="K89" t="s">
        <v>455</v>
      </c>
      <c r="L89" t="s">
        <v>642</v>
      </c>
    </row>
    <row r="90" spans="1:12" x14ac:dyDescent="0.25">
      <c r="A90" t="s">
        <v>554</v>
      </c>
      <c r="B90" t="s">
        <v>573</v>
      </c>
      <c r="C90">
        <v>592.94949999999994</v>
      </c>
      <c r="D90">
        <v>173.02</v>
      </c>
      <c r="E90">
        <v>10.999000000000001</v>
      </c>
      <c r="F90" s="16" t="s">
        <v>619</v>
      </c>
      <c r="G90" s="16" t="s">
        <v>464</v>
      </c>
      <c r="H90" t="s">
        <v>625</v>
      </c>
      <c r="I90" t="s">
        <v>625</v>
      </c>
      <c r="K90" t="s">
        <v>455</v>
      </c>
      <c r="L90" t="s">
        <v>642</v>
      </c>
    </row>
    <row r="91" spans="1:12" x14ac:dyDescent="0.25">
      <c r="A91" t="s">
        <v>554</v>
      </c>
      <c r="B91" t="s">
        <v>573</v>
      </c>
      <c r="C91">
        <v>592.94949999999994</v>
      </c>
      <c r="D91">
        <v>173.02</v>
      </c>
      <c r="E91">
        <v>10.999000000000001</v>
      </c>
      <c r="F91" s="16" t="s">
        <v>619</v>
      </c>
      <c r="G91" s="16" t="s">
        <v>464</v>
      </c>
      <c r="H91" t="s">
        <v>626</v>
      </c>
      <c r="I91" t="s">
        <v>626</v>
      </c>
      <c r="K91" t="s">
        <v>455</v>
      </c>
      <c r="L91" t="s">
        <v>642</v>
      </c>
    </row>
    <row r="92" spans="1:12" x14ac:dyDescent="0.25">
      <c r="A92" s="19" t="s">
        <v>554</v>
      </c>
      <c r="B92" s="19" t="s">
        <v>574</v>
      </c>
      <c r="C92" s="19">
        <v>628.91890000000001</v>
      </c>
      <c r="D92" s="19">
        <v>176</v>
      </c>
      <c r="E92" s="19">
        <v>10.999000000000001</v>
      </c>
      <c r="F92" s="31" t="s">
        <v>612</v>
      </c>
      <c r="G92" s="31" t="s">
        <v>464</v>
      </c>
      <c r="H92" s="19" t="s">
        <v>491</v>
      </c>
      <c r="I92" s="31" t="s">
        <v>612</v>
      </c>
      <c r="J92" s="19"/>
      <c r="K92" s="31" t="s">
        <v>464</v>
      </c>
      <c r="L92" s="19"/>
    </row>
    <row r="93" spans="1:12" x14ac:dyDescent="0.25">
      <c r="A93" t="s">
        <v>554</v>
      </c>
      <c r="B93" t="s">
        <v>574</v>
      </c>
      <c r="C93">
        <v>628.91890000000001</v>
      </c>
      <c r="D93">
        <v>176</v>
      </c>
      <c r="E93">
        <v>10.999000000000001</v>
      </c>
      <c r="F93" s="16" t="s">
        <v>612</v>
      </c>
      <c r="G93" s="16" t="s">
        <v>464</v>
      </c>
      <c r="H93" t="s">
        <v>627</v>
      </c>
      <c r="I93" t="s">
        <v>627</v>
      </c>
      <c r="K93" t="s">
        <v>455</v>
      </c>
      <c r="L93" t="s">
        <v>642</v>
      </c>
    </row>
    <row r="94" spans="1:12" x14ac:dyDescent="0.25">
      <c r="A94" t="s">
        <v>554</v>
      </c>
      <c r="B94" t="s">
        <v>574</v>
      </c>
      <c r="C94">
        <v>628.91890000000001</v>
      </c>
      <c r="D94">
        <v>176</v>
      </c>
      <c r="E94">
        <v>10.999000000000001</v>
      </c>
      <c r="F94" s="16" t="s">
        <v>612</v>
      </c>
      <c r="G94" s="16" t="s">
        <v>464</v>
      </c>
      <c r="H94" t="s">
        <v>628</v>
      </c>
      <c r="I94" t="s">
        <v>628</v>
      </c>
      <c r="K94" t="s">
        <v>455</v>
      </c>
      <c r="L94" t="s">
        <v>642</v>
      </c>
    </row>
    <row r="95" spans="1:12" x14ac:dyDescent="0.25">
      <c r="A95" t="s">
        <v>554</v>
      </c>
      <c r="B95" t="s">
        <v>574</v>
      </c>
      <c r="C95">
        <v>628.91890000000001</v>
      </c>
      <c r="D95">
        <v>176</v>
      </c>
      <c r="E95">
        <v>10.999000000000001</v>
      </c>
      <c r="F95" s="16" t="s">
        <v>612</v>
      </c>
      <c r="G95" s="16" t="s">
        <v>464</v>
      </c>
      <c r="H95" t="s">
        <v>629</v>
      </c>
      <c r="I95" t="s">
        <v>629</v>
      </c>
      <c r="K95" t="s">
        <v>455</v>
      </c>
      <c r="L95" t="s">
        <v>642</v>
      </c>
    </row>
    <row r="96" spans="1:12" x14ac:dyDescent="0.25">
      <c r="A96" t="s">
        <v>554</v>
      </c>
      <c r="B96" t="s">
        <v>574</v>
      </c>
      <c r="C96">
        <v>628.91890000000001</v>
      </c>
      <c r="D96">
        <v>176</v>
      </c>
      <c r="E96">
        <v>10.999000000000001</v>
      </c>
      <c r="F96" s="16" t="s">
        <v>612</v>
      </c>
      <c r="G96" s="16" t="s">
        <v>464</v>
      </c>
      <c r="H96" t="s">
        <v>630</v>
      </c>
      <c r="I96" t="s">
        <v>630</v>
      </c>
      <c r="K96" t="s">
        <v>455</v>
      </c>
      <c r="L96" t="s">
        <v>642</v>
      </c>
    </row>
    <row r="97" spans="1:12" x14ac:dyDescent="0.25">
      <c r="A97" t="s">
        <v>554</v>
      </c>
      <c r="B97" t="s">
        <v>574</v>
      </c>
      <c r="C97">
        <v>628.91890000000001</v>
      </c>
      <c r="D97">
        <v>176</v>
      </c>
      <c r="E97">
        <v>10.999000000000001</v>
      </c>
      <c r="F97" s="16" t="s">
        <v>612</v>
      </c>
      <c r="G97" s="16" t="s">
        <v>464</v>
      </c>
      <c r="H97" t="s">
        <v>632</v>
      </c>
      <c r="I97" t="s">
        <v>632</v>
      </c>
      <c r="K97" t="s">
        <v>455</v>
      </c>
      <c r="L97" t="s">
        <v>638</v>
      </c>
    </row>
    <row r="98" spans="1:12" x14ac:dyDescent="0.25">
      <c r="A98" t="s">
        <v>554</v>
      </c>
      <c r="B98" t="s">
        <v>574</v>
      </c>
      <c r="C98">
        <v>628.91890000000001</v>
      </c>
      <c r="D98">
        <v>176</v>
      </c>
      <c r="E98">
        <v>10.999000000000001</v>
      </c>
      <c r="F98" s="16" t="s">
        <v>612</v>
      </c>
      <c r="G98" s="16" t="s">
        <v>464</v>
      </c>
      <c r="H98" t="s">
        <v>631</v>
      </c>
      <c r="I98" t="s">
        <v>631</v>
      </c>
      <c r="K98" t="s">
        <v>455</v>
      </c>
      <c r="L98" t="s">
        <v>645</v>
      </c>
    </row>
    <row r="99" spans="1:12" x14ac:dyDescent="0.25">
      <c r="A99" t="s">
        <v>554</v>
      </c>
      <c r="B99" t="s">
        <v>574</v>
      </c>
      <c r="C99">
        <v>628.91890000000001</v>
      </c>
      <c r="D99">
        <v>176</v>
      </c>
      <c r="E99">
        <v>10.999000000000001</v>
      </c>
      <c r="F99" s="16" t="s">
        <v>612</v>
      </c>
      <c r="G99" s="16" t="s">
        <v>464</v>
      </c>
      <c r="H99" t="s">
        <v>504</v>
      </c>
      <c r="I99" t="s">
        <v>504</v>
      </c>
      <c r="K99" t="s">
        <v>455</v>
      </c>
      <c r="L99" t="s">
        <v>642</v>
      </c>
    </row>
    <row r="100" spans="1:12" x14ac:dyDescent="0.25">
      <c r="A100" t="s">
        <v>554</v>
      </c>
      <c r="B100" t="s">
        <v>574</v>
      </c>
      <c r="C100">
        <v>628.91890000000001</v>
      </c>
      <c r="D100">
        <v>176</v>
      </c>
      <c r="E100">
        <v>10.999000000000001</v>
      </c>
      <c r="F100" s="16" t="s">
        <v>612</v>
      </c>
      <c r="G100" s="16" t="s">
        <v>464</v>
      </c>
      <c r="H100" t="s">
        <v>497</v>
      </c>
      <c r="I100" t="s">
        <v>497</v>
      </c>
      <c r="K100" t="s">
        <v>455</v>
      </c>
      <c r="L100" t="s">
        <v>651</v>
      </c>
    </row>
    <row r="101" spans="1:12" x14ac:dyDescent="0.25">
      <c r="A101" t="s">
        <v>554</v>
      </c>
      <c r="B101" t="s">
        <v>574</v>
      </c>
      <c r="C101">
        <v>628.91890000000001</v>
      </c>
      <c r="D101">
        <v>176</v>
      </c>
      <c r="E101">
        <v>10.999000000000001</v>
      </c>
      <c r="F101" s="16" t="s">
        <v>612</v>
      </c>
      <c r="G101" s="16" t="s">
        <v>464</v>
      </c>
      <c r="H101">
        <v>282</v>
      </c>
      <c r="I101" t="s">
        <v>614</v>
      </c>
      <c r="K101" t="s">
        <v>455</v>
      </c>
      <c r="L101" t="s">
        <v>640</v>
      </c>
    </row>
    <row r="102" spans="1:12" x14ac:dyDescent="0.25">
      <c r="A102" t="s">
        <v>554</v>
      </c>
      <c r="B102" t="s">
        <v>574</v>
      </c>
      <c r="C102">
        <v>628.91890000000001</v>
      </c>
      <c r="D102">
        <v>176</v>
      </c>
      <c r="E102">
        <v>10.999000000000001</v>
      </c>
      <c r="F102" s="16" t="s">
        <v>612</v>
      </c>
      <c r="G102" s="16" t="s">
        <v>464</v>
      </c>
      <c r="H102">
        <v>262</v>
      </c>
      <c r="I102" t="s">
        <v>613</v>
      </c>
      <c r="K102" t="s">
        <v>455</v>
      </c>
      <c r="L102" t="s">
        <v>639</v>
      </c>
    </row>
    <row r="103" spans="1:12" x14ac:dyDescent="0.25">
      <c r="A103" t="s">
        <v>554</v>
      </c>
      <c r="B103" t="s">
        <v>574</v>
      </c>
      <c r="C103">
        <v>628.91890000000001</v>
      </c>
      <c r="D103">
        <v>176</v>
      </c>
      <c r="E103">
        <v>10.999000000000001</v>
      </c>
      <c r="F103" s="16" t="s">
        <v>612</v>
      </c>
      <c r="G103" s="16" t="s">
        <v>464</v>
      </c>
      <c r="H103">
        <v>448</v>
      </c>
      <c r="I103" s="16" t="s">
        <v>611</v>
      </c>
      <c r="K103" t="s">
        <v>455</v>
      </c>
      <c r="L103" t="s">
        <v>644</v>
      </c>
    </row>
    <row r="104" spans="1:12" x14ac:dyDescent="0.25">
      <c r="A104" t="s">
        <v>554</v>
      </c>
      <c r="B104" t="s">
        <v>574</v>
      </c>
      <c r="C104">
        <v>628.91890000000001</v>
      </c>
      <c r="D104">
        <v>176</v>
      </c>
      <c r="E104">
        <v>10.999000000000001</v>
      </c>
      <c r="F104" s="16" t="s">
        <v>612</v>
      </c>
      <c r="G104" s="16" t="s">
        <v>464</v>
      </c>
      <c r="H104" s="16" t="s">
        <v>650</v>
      </c>
      <c r="I104" s="16" t="s">
        <v>650</v>
      </c>
      <c r="K104" t="s">
        <v>455</v>
      </c>
      <c r="L104" s="16" t="s">
        <v>665</v>
      </c>
    </row>
    <row r="105" spans="1:12" x14ac:dyDescent="0.25">
      <c r="A105" t="s">
        <v>554</v>
      </c>
      <c r="B105" t="s">
        <v>574</v>
      </c>
      <c r="C105">
        <v>628.91890000000001</v>
      </c>
      <c r="D105">
        <v>176</v>
      </c>
      <c r="E105">
        <v>10.999000000000001</v>
      </c>
      <c r="F105" s="16" t="s">
        <v>612</v>
      </c>
      <c r="G105" s="16" t="s">
        <v>464</v>
      </c>
      <c r="H105" s="16" t="s">
        <v>649</v>
      </c>
      <c r="I105" s="16" t="s">
        <v>649</v>
      </c>
      <c r="K105" t="s">
        <v>455</v>
      </c>
      <c r="L105" s="16" t="s">
        <v>665</v>
      </c>
    </row>
    <row r="106" spans="1:12" x14ac:dyDescent="0.25">
      <c r="A106" s="19" t="s">
        <v>554</v>
      </c>
      <c r="B106" s="19" t="s">
        <v>633</v>
      </c>
      <c r="C106" s="19">
        <v>414.94920000000002</v>
      </c>
      <c r="D106" s="19">
        <v>171</v>
      </c>
      <c r="E106" s="19">
        <v>11</v>
      </c>
      <c r="F106" s="31"/>
      <c r="G106" s="31">
        <v>-1</v>
      </c>
      <c r="H106" s="19" t="s">
        <v>491</v>
      </c>
      <c r="I106" s="19"/>
      <c r="J106" s="19">
        <v>414.94920000000002</v>
      </c>
      <c r="K106" s="31">
        <v>-1</v>
      </c>
      <c r="L106" t="s">
        <v>656</v>
      </c>
    </row>
    <row r="107" spans="1:12" x14ac:dyDescent="0.25">
      <c r="A107" s="19" t="s">
        <v>554</v>
      </c>
      <c r="B107" s="19" t="s">
        <v>633</v>
      </c>
      <c r="C107" s="19">
        <v>414.94920000000002</v>
      </c>
      <c r="D107" s="19">
        <v>171</v>
      </c>
      <c r="E107" s="19">
        <v>11</v>
      </c>
      <c r="F107" s="31"/>
      <c r="G107" s="31">
        <v>-1</v>
      </c>
      <c r="H107">
        <v>282</v>
      </c>
      <c r="I107" t="s">
        <v>614</v>
      </c>
      <c r="K107" t="s">
        <v>455</v>
      </c>
      <c r="L107" t="s">
        <v>652</v>
      </c>
    </row>
    <row r="108" spans="1:12" x14ac:dyDescent="0.25">
      <c r="A108" s="19" t="s">
        <v>554</v>
      </c>
      <c r="B108" s="19" t="s">
        <v>633</v>
      </c>
      <c r="C108" s="19">
        <v>414.94920000000002</v>
      </c>
      <c r="D108" s="19">
        <v>171</v>
      </c>
      <c r="E108" s="19">
        <v>11</v>
      </c>
      <c r="F108" s="31"/>
      <c r="G108" s="31">
        <v>-1</v>
      </c>
      <c r="H108">
        <v>262</v>
      </c>
      <c r="I108" t="s">
        <v>613</v>
      </c>
      <c r="K108" t="s">
        <v>455</v>
      </c>
      <c r="L108" t="s">
        <v>652</v>
      </c>
    </row>
    <row r="109" spans="1:12" x14ac:dyDescent="0.25">
      <c r="A109" s="19" t="s">
        <v>554</v>
      </c>
      <c r="B109" s="19" t="s">
        <v>633</v>
      </c>
      <c r="C109" s="19">
        <v>414.94920000000002</v>
      </c>
      <c r="D109" s="19">
        <v>171</v>
      </c>
      <c r="E109" s="19">
        <v>11</v>
      </c>
      <c r="F109" s="31"/>
      <c r="G109" s="31">
        <v>-1</v>
      </c>
      <c r="H109" t="s">
        <v>615</v>
      </c>
      <c r="I109" t="s">
        <v>615</v>
      </c>
      <c r="K109" t="s">
        <v>455</v>
      </c>
      <c r="L109" t="s">
        <v>652</v>
      </c>
    </row>
    <row r="110" spans="1:12" x14ac:dyDescent="0.25">
      <c r="A110" s="19" t="s">
        <v>554</v>
      </c>
      <c r="B110" s="19" t="s">
        <v>633</v>
      </c>
      <c r="C110" s="19">
        <v>414.94920000000002</v>
      </c>
      <c r="D110" s="19">
        <v>171</v>
      </c>
      <c r="E110" s="19">
        <v>11</v>
      </c>
      <c r="F110" s="31"/>
      <c r="G110" s="31">
        <v>-1</v>
      </c>
      <c r="H110" t="s">
        <v>496</v>
      </c>
      <c r="I110" t="s">
        <v>496</v>
      </c>
      <c r="K110" t="s">
        <v>455</v>
      </c>
      <c r="L110" t="s">
        <v>653</v>
      </c>
    </row>
    <row r="111" spans="1:12" x14ac:dyDescent="0.25">
      <c r="A111" s="19" t="s">
        <v>554</v>
      </c>
      <c r="B111" s="19" t="s">
        <v>633</v>
      </c>
      <c r="C111" s="19">
        <v>414.94920000000002</v>
      </c>
      <c r="D111" s="19">
        <v>171</v>
      </c>
      <c r="E111" s="19">
        <v>11</v>
      </c>
      <c r="F111" s="31"/>
      <c r="G111" s="31">
        <v>-1</v>
      </c>
      <c r="H111" t="s">
        <v>616</v>
      </c>
      <c r="I111" t="s">
        <v>616</v>
      </c>
      <c r="K111" t="s">
        <v>455</v>
      </c>
      <c r="L111" t="s">
        <v>642</v>
      </c>
    </row>
    <row r="112" spans="1:12" x14ac:dyDescent="0.25">
      <c r="A112" s="19" t="s">
        <v>554</v>
      </c>
      <c r="B112" s="19" t="s">
        <v>633</v>
      </c>
      <c r="C112" s="19">
        <v>414.94920000000002</v>
      </c>
      <c r="D112" s="19">
        <v>171</v>
      </c>
      <c r="E112" s="19">
        <v>11</v>
      </c>
      <c r="F112" s="31"/>
      <c r="G112" s="31">
        <v>-1</v>
      </c>
      <c r="H112" t="s">
        <v>504</v>
      </c>
      <c r="I112" t="s">
        <v>504</v>
      </c>
      <c r="K112" t="s">
        <v>455</v>
      </c>
      <c r="L112" t="s">
        <v>642</v>
      </c>
    </row>
    <row r="113" spans="1:12" x14ac:dyDescent="0.25">
      <c r="A113" s="19" t="s">
        <v>554</v>
      </c>
      <c r="B113" s="19" t="s">
        <v>633</v>
      </c>
      <c r="C113" s="19">
        <v>414.94920000000002</v>
      </c>
      <c r="D113" s="19">
        <v>171</v>
      </c>
      <c r="E113" s="19">
        <v>11</v>
      </c>
      <c r="F113" s="31"/>
      <c r="G113" s="31">
        <v>-1</v>
      </c>
      <c r="H113" t="s">
        <v>509</v>
      </c>
      <c r="I113" t="s">
        <v>509</v>
      </c>
      <c r="K113" t="s">
        <v>455</v>
      </c>
      <c r="L113" t="s">
        <v>642</v>
      </c>
    </row>
    <row r="114" spans="1:12" x14ac:dyDescent="0.25">
      <c r="A114" s="19" t="s">
        <v>554</v>
      </c>
      <c r="B114" s="19" t="s">
        <v>633</v>
      </c>
      <c r="C114" s="19">
        <v>414.94920000000002</v>
      </c>
      <c r="D114" s="19">
        <v>171</v>
      </c>
      <c r="E114" s="19">
        <v>11</v>
      </c>
      <c r="F114" s="31"/>
      <c r="G114" s="31">
        <v>-1</v>
      </c>
      <c r="H114" t="s">
        <v>617</v>
      </c>
      <c r="I114" t="s">
        <v>617</v>
      </c>
      <c r="K114" t="s">
        <v>455</v>
      </c>
      <c r="L114" t="s">
        <v>654</v>
      </c>
    </row>
    <row r="115" spans="1:12" x14ac:dyDescent="0.25">
      <c r="A115" s="19" t="s">
        <v>554</v>
      </c>
      <c r="B115" s="19" t="s">
        <v>633</v>
      </c>
      <c r="C115" s="19">
        <v>414.94920000000002</v>
      </c>
      <c r="D115" s="19">
        <v>171</v>
      </c>
      <c r="E115" s="19">
        <v>11</v>
      </c>
      <c r="F115" s="31"/>
      <c r="G115" s="31">
        <v>-1</v>
      </c>
      <c r="H115" s="70" t="s">
        <v>648</v>
      </c>
      <c r="I115" s="70" t="s">
        <v>648</v>
      </c>
      <c r="J115" s="19"/>
      <c r="K115" t="s">
        <v>455</v>
      </c>
      <c r="L115" t="s">
        <v>642</v>
      </c>
    </row>
    <row r="116" spans="1:12" x14ac:dyDescent="0.25">
      <c r="A116" s="19" t="s">
        <v>554</v>
      </c>
      <c r="B116" s="19" t="s">
        <v>634</v>
      </c>
      <c r="C116" s="19">
        <v>414.94920000000002</v>
      </c>
      <c r="D116" s="19">
        <v>178</v>
      </c>
      <c r="E116" s="19">
        <v>11</v>
      </c>
      <c r="F116" s="31"/>
      <c r="G116" s="31">
        <v>-1</v>
      </c>
      <c r="H116" s="19" t="s">
        <v>491</v>
      </c>
      <c r="I116" s="19"/>
      <c r="J116" s="19">
        <v>414.94920000000002</v>
      </c>
      <c r="K116" s="31">
        <v>-1</v>
      </c>
      <c r="L116" t="s">
        <v>655</v>
      </c>
    </row>
    <row r="117" spans="1:12" x14ac:dyDescent="0.25">
      <c r="A117" s="19" t="s">
        <v>554</v>
      </c>
      <c r="B117" s="19" t="s">
        <v>634</v>
      </c>
      <c r="C117" s="19">
        <v>414.94920000000002</v>
      </c>
      <c r="D117" s="19">
        <v>178</v>
      </c>
      <c r="E117" s="19">
        <v>11</v>
      </c>
      <c r="F117" s="31"/>
      <c r="G117" s="31">
        <v>-1</v>
      </c>
      <c r="H117">
        <v>282</v>
      </c>
      <c r="I117" t="s">
        <v>614</v>
      </c>
      <c r="K117" t="s">
        <v>455</v>
      </c>
      <c r="L117" t="s">
        <v>658</v>
      </c>
    </row>
    <row r="118" spans="1:12" x14ac:dyDescent="0.25">
      <c r="A118" s="19" t="s">
        <v>554</v>
      </c>
      <c r="B118" s="19" t="s">
        <v>634</v>
      </c>
      <c r="C118" s="19">
        <v>414.94920000000002</v>
      </c>
      <c r="D118" s="19">
        <v>178</v>
      </c>
      <c r="E118" s="19">
        <v>11</v>
      </c>
      <c r="F118" s="31"/>
      <c r="G118" s="31">
        <v>-1</v>
      </c>
      <c r="H118">
        <v>262</v>
      </c>
      <c r="I118" t="s">
        <v>613</v>
      </c>
      <c r="K118" t="s">
        <v>455</v>
      </c>
      <c r="L118" t="s">
        <v>658</v>
      </c>
    </row>
    <row r="119" spans="1:12" x14ac:dyDescent="0.25">
      <c r="A119" s="19" t="s">
        <v>554</v>
      </c>
      <c r="B119" s="19" t="s">
        <v>634</v>
      </c>
      <c r="C119" s="19">
        <v>414.94920000000002</v>
      </c>
      <c r="D119" s="19">
        <v>178</v>
      </c>
      <c r="E119" s="19">
        <v>11</v>
      </c>
      <c r="F119" s="31"/>
      <c r="G119" s="31">
        <v>-1</v>
      </c>
      <c r="H119" t="s">
        <v>615</v>
      </c>
      <c r="I119" t="s">
        <v>615</v>
      </c>
      <c r="K119" t="s">
        <v>455</v>
      </c>
      <c r="L119" t="s">
        <v>642</v>
      </c>
    </row>
    <row r="120" spans="1:12" x14ac:dyDescent="0.25">
      <c r="A120" s="19" t="s">
        <v>554</v>
      </c>
      <c r="B120" s="19" t="s">
        <v>634</v>
      </c>
      <c r="C120" s="19">
        <v>414.94920000000002</v>
      </c>
      <c r="D120" s="19">
        <v>178</v>
      </c>
      <c r="E120" s="19">
        <v>11</v>
      </c>
      <c r="F120" s="31"/>
      <c r="G120" s="31">
        <v>-1</v>
      </c>
      <c r="H120" t="s">
        <v>496</v>
      </c>
      <c r="I120" t="s">
        <v>496</v>
      </c>
      <c r="K120" t="s">
        <v>455</v>
      </c>
      <c r="L120" t="s">
        <v>642</v>
      </c>
    </row>
    <row r="121" spans="1:12" x14ac:dyDescent="0.25">
      <c r="A121" s="19" t="s">
        <v>554</v>
      </c>
      <c r="B121" s="19" t="s">
        <v>634</v>
      </c>
      <c r="C121" s="19">
        <v>414.94920000000002</v>
      </c>
      <c r="D121" s="19">
        <v>178</v>
      </c>
      <c r="E121" s="19">
        <v>11</v>
      </c>
      <c r="F121" s="31"/>
      <c r="G121" s="31">
        <v>-1</v>
      </c>
      <c r="H121" t="s">
        <v>616</v>
      </c>
      <c r="I121" t="s">
        <v>616</v>
      </c>
      <c r="K121" t="s">
        <v>455</v>
      </c>
      <c r="L121" t="s">
        <v>642</v>
      </c>
    </row>
    <row r="122" spans="1:12" x14ac:dyDescent="0.25">
      <c r="A122" s="19" t="s">
        <v>554</v>
      </c>
      <c r="B122" s="19" t="s">
        <v>634</v>
      </c>
      <c r="C122" s="19">
        <v>414.94920000000002</v>
      </c>
      <c r="D122" s="19">
        <v>178</v>
      </c>
      <c r="E122" s="19">
        <v>11</v>
      </c>
      <c r="F122" s="31"/>
      <c r="G122" s="31">
        <v>-1</v>
      </c>
      <c r="H122" t="s">
        <v>504</v>
      </c>
      <c r="I122" t="s">
        <v>504</v>
      </c>
      <c r="K122" t="s">
        <v>455</v>
      </c>
      <c r="L122" t="s">
        <v>642</v>
      </c>
    </row>
    <row r="123" spans="1:12" x14ac:dyDescent="0.25">
      <c r="A123" s="19" t="s">
        <v>554</v>
      </c>
      <c r="B123" s="19" t="s">
        <v>634</v>
      </c>
      <c r="C123" s="19">
        <v>414.94920000000002</v>
      </c>
      <c r="D123" s="19">
        <v>178</v>
      </c>
      <c r="E123" s="19">
        <v>11</v>
      </c>
      <c r="F123" s="31"/>
      <c r="G123" s="31">
        <v>-1</v>
      </c>
      <c r="H123" t="s">
        <v>509</v>
      </c>
      <c r="I123" t="s">
        <v>509</v>
      </c>
      <c r="K123" t="s">
        <v>455</v>
      </c>
      <c r="L123" t="s">
        <v>642</v>
      </c>
    </row>
    <row r="124" spans="1:12" x14ac:dyDescent="0.25">
      <c r="A124" s="19" t="s">
        <v>554</v>
      </c>
      <c r="B124" s="19" t="s">
        <v>634</v>
      </c>
      <c r="C124" s="19">
        <v>414.94920000000002</v>
      </c>
      <c r="D124" s="19">
        <v>178</v>
      </c>
      <c r="E124" s="19">
        <v>11</v>
      </c>
      <c r="F124" s="31"/>
      <c r="G124" s="31">
        <v>-1</v>
      </c>
      <c r="H124" t="s">
        <v>617</v>
      </c>
      <c r="I124" t="s">
        <v>617</v>
      </c>
      <c r="K124" t="s">
        <v>455</v>
      </c>
      <c r="L124" t="s">
        <v>657</v>
      </c>
    </row>
    <row r="125" spans="1:12" x14ac:dyDescent="0.25">
      <c r="A125" s="19" t="s">
        <v>554</v>
      </c>
      <c r="B125" s="19" t="s">
        <v>634</v>
      </c>
      <c r="C125" s="19">
        <v>414.94920000000002</v>
      </c>
      <c r="D125" s="19">
        <v>178</v>
      </c>
      <c r="E125" s="19">
        <v>11</v>
      </c>
      <c r="F125" s="31"/>
      <c r="G125" s="31">
        <v>-1</v>
      </c>
      <c r="H125" s="70" t="s">
        <v>648</v>
      </c>
      <c r="I125" s="70" t="s">
        <v>648</v>
      </c>
      <c r="J125" s="19"/>
      <c r="K125" t="s">
        <v>455</v>
      </c>
      <c r="L125" t="s">
        <v>642</v>
      </c>
    </row>
    <row r="126" spans="1:12" x14ac:dyDescent="0.25">
      <c r="A126" s="19" t="s">
        <v>554</v>
      </c>
      <c r="B126" s="19">
        <v>450</v>
      </c>
      <c r="C126" s="19">
        <v>450.928</v>
      </c>
      <c r="D126" s="19">
        <v>178</v>
      </c>
      <c r="E126" s="19">
        <v>11</v>
      </c>
      <c r="F126" s="31"/>
      <c r="G126" s="31">
        <v>-1</v>
      </c>
      <c r="H126" s="19" t="s">
        <v>491</v>
      </c>
      <c r="I126" s="19"/>
      <c r="J126" s="19">
        <v>450.928</v>
      </c>
      <c r="K126" s="31">
        <v>-1</v>
      </c>
      <c r="L126" t="s">
        <v>659</v>
      </c>
    </row>
    <row r="127" spans="1:12" x14ac:dyDescent="0.25">
      <c r="A127" s="70" t="s">
        <v>554</v>
      </c>
      <c r="B127" s="70">
        <v>450</v>
      </c>
      <c r="C127" s="70">
        <v>450.928</v>
      </c>
      <c r="D127" s="70">
        <v>178</v>
      </c>
      <c r="E127" s="70">
        <v>11</v>
      </c>
      <c r="F127" s="71"/>
      <c r="G127" s="71">
        <v>-1</v>
      </c>
      <c r="H127">
        <v>282</v>
      </c>
      <c r="I127" t="s">
        <v>614</v>
      </c>
      <c r="K127" t="s">
        <v>455</v>
      </c>
      <c r="L127" t="s">
        <v>658</v>
      </c>
    </row>
    <row r="128" spans="1:12" x14ac:dyDescent="0.25">
      <c r="A128" s="70" t="s">
        <v>554</v>
      </c>
      <c r="B128" s="70">
        <v>450</v>
      </c>
      <c r="C128" s="70">
        <v>450.928</v>
      </c>
      <c r="D128" s="70">
        <v>178</v>
      </c>
      <c r="E128" s="70">
        <v>11</v>
      </c>
      <c r="F128" s="71"/>
      <c r="G128" s="71">
        <v>-1</v>
      </c>
      <c r="H128">
        <v>262</v>
      </c>
      <c r="I128" t="s">
        <v>613</v>
      </c>
      <c r="K128" t="s">
        <v>455</v>
      </c>
      <c r="L128" t="s">
        <v>658</v>
      </c>
    </row>
    <row r="129" spans="1:12" x14ac:dyDescent="0.25">
      <c r="A129" s="70" t="s">
        <v>554</v>
      </c>
      <c r="B129" s="70">
        <v>450</v>
      </c>
      <c r="C129" s="70">
        <v>450.928</v>
      </c>
      <c r="D129" s="70">
        <v>178</v>
      </c>
      <c r="E129" s="70">
        <v>11</v>
      </c>
      <c r="F129" s="71"/>
      <c r="G129" s="71">
        <v>-1</v>
      </c>
      <c r="H129" t="s">
        <v>615</v>
      </c>
      <c r="I129" t="s">
        <v>615</v>
      </c>
      <c r="K129" t="s">
        <v>455</v>
      </c>
      <c r="L129" t="s">
        <v>662</v>
      </c>
    </row>
    <row r="130" spans="1:12" x14ac:dyDescent="0.25">
      <c r="A130" s="70" t="s">
        <v>554</v>
      </c>
      <c r="B130" s="70">
        <v>450</v>
      </c>
      <c r="C130" s="70">
        <v>450.928</v>
      </c>
      <c r="D130" s="70">
        <v>178</v>
      </c>
      <c r="E130" s="70">
        <v>11</v>
      </c>
      <c r="F130" s="71"/>
      <c r="G130" s="71">
        <v>-1</v>
      </c>
      <c r="H130" t="s">
        <v>496</v>
      </c>
      <c r="I130" t="s">
        <v>496</v>
      </c>
      <c r="K130" t="s">
        <v>455</v>
      </c>
      <c r="L130" t="s">
        <v>661</v>
      </c>
    </row>
    <row r="131" spans="1:12" x14ac:dyDescent="0.25">
      <c r="A131" s="70" t="s">
        <v>554</v>
      </c>
      <c r="B131" s="70">
        <v>450</v>
      </c>
      <c r="C131" s="70">
        <v>450.928</v>
      </c>
      <c r="D131" s="70">
        <v>178</v>
      </c>
      <c r="E131" s="70">
        <v>11</v>
      </c>
      <c r="F131" s="71"/>
      <c r="G131" s="71">
        <v>-1</v>
      </c>
      <c r="H131" t="s">
        <v>616</v>
      </c>
      <c r="I131" t="s">
        <v>616</v>
      </c>
      <c r="K131" t="s">
        <v>455</v>
      </c>
      <c r="L131" t="s">
        <v>642</v>
      </c>
    </row>
    <row r="132" spans="1:12" x14ac:dyDescent="0.25">
      <c r="A132" s="70" t="s">
        <v>554</v>
      </c>
      <c r="B132" s="70">
        <v>450</v>
      </c>
      <c r="C132" s="70">
        <v>450.928</v>
      </c>
      <c r="D132" s="70">
        <v>178</v>
      </c>
      <c r="E132" s="70">
        <v>11</v>
      </c>
      <c r="F132" s="71"/>
      <c r="G132" s="71">
        <v>-1</v>
      </c>
      <c r="H132" t="s">
        <v>504</v>
      </c>
      <c r="I132" t="s">
        <v>504</v>
      </c>
      <c r="K132" t="s">
        <v>455</v>
      </c>
      <c r="L132" t="s">
        <v>642</v>
      </c>
    </row>
    <row r="133" spans="1:12" x14ac:dyDescent="0.25">
      <c r="A133" s="70" t="s">
        <v>554</v>
      </c>
      <c r="B133" s="70">
        <v>450</v>
      </c>
      <c r="C133" s="70">
        <v>450.928</v>
      </c>
      <c r="D133" s="70">
        <v>178</v>
      </c>
      <c r="E133" s="70">
        <v>11</v>
      </c>
      <c r="F133" s="71"/>
      <c r="G133" s="71">
        <v>-1</v>
      </c>
      <c r="H133" t="s">
        <v>509</v>
      </c>
      <c r="I133" t="s">
        <v>509</v>
      </c>
      <c r="K133" t="s">
        <v>455</v>
      </c>
      <c r="L133" t="s">
        <v>642</v>
      </c>
    </row>
    <row r="134" spans="1:12" x14ac:dyDescent="0.25">
      <c r="A134" s="70" t="s">
        <v>554</v>
      </c>
      <c r="B134" s="70">
        <v>450</v>
      </c>
      <c r="C134" s="70">
        <v>450.928</v>
      </c>
      <c r="D134" s="70">
        <v>178</v>
      </c>
      <c r="E134" s="70">
        <v>11</v>
      </c>
      <c r="F134" s="71"/>
      <c r="G134" s="71">
        <v>-1</v>
      </c>
      <c r="H134" t="s">
        <v>617</v>
      </c>
      <c r="I134" t="s">
        <v>617</v>
      </c>
      <c r="K134" t="s">
        <v>455</v>
      </c>
      <c r="L134" t="s">
        <v>664</v>
      </c>
    </row>
    <row r="135" spans="1:12" x14ac:dyDescent="0.25">
      <c r="A135" s="70" t="s">
        <v>554</v>
      </c>
      <c r="B135" s="70">
        <v>450</v>
      </c>
      <c r="C135" s="70">
        <v>450.928</v>
      </c>
      <c r="D135" s="70">
        <v>178</v>
      </c>
      <c r="E135" s="70">
        <v>11</v>
      </c>
      <c r="F135" s="71"/>
      <c r="G135" s="71">
        <v>-1</v>
      </c>
      <c r="H135" s="70" t="s">
        <v>648</v>
      </c>
      <c r="I135" s="70" t="s">
        <v>648</v>
      </c>
      <c r="J135" s="70"/>
      <c r="K135" s="70" t="s">
        <v>455</v>
      </c>
      <c r="L135" t="s">
        <v>661</v>
      </c>
    </row>
    <row r="136" spans="1:12" x14ac:dyDescent="0.25">
      <c r="A136" s="70" t="s">
        <v>554</v>
      </c>
      <c r="B136" s="70">
        <v>450</v>
      </c>
      <c r="C136" s="70">
        <v>450.928</v>
      </c>
      <c r="D136" s="70">
        <v>178</v>
      </c>
      <c r="E136" s="70">
        <v>11</v>
      </c>
      <c r="F136" s="71"/>
      <c r="G136" s="71">
        <v>-1</v>
      </c>
      <c r="H136" s="70">
        <v>281</v>
      </c>
      <c r="I136" s="70"/>
      <c r="J136" s="70">
        <v>281.99290000000002</v>
      </c>
      <c r="K136" s="71">
        <v>-1</v>
      </c>
      <c r="L136" t="s">
        <v>639</v>
      </c>
    </row>
    <row r="137" spans="1:12" x14ac:dyDescent="0.25">
      <c r="A137" s="70" t="s">
        <v>554</v>
      </c>
      <c r="B137" s="70">
        <v>450</v>
      </c>
      <c r="C137" s="70">
        <v>450.928</v>
      </c>
      <c r="D137" s="70">
        <v>178</v>
      </c>
      <c r="E137" s="70">
        <v>11</v>
      </c>
      <c r="F137" s="71"/>
      <c r="G137" s="71">
        <v>-1</v>
      </c>
      <c r="H137" s="70">
        <v>282</v>
      </c>
      <c r="I137" s="70"/>
      <c r="J137">
        <v>282.99110000000002</v>
      </c>
      <c r="K137" s="71">
        <v>-1</v>
      </c>
      <c r="L137" t="s">
        <v>658</v>
      </c>
    </row>
    <row r="138" spans="1:12" x14ac:dyDescent="0.25">
      <c r="A138" s="70" t="s">
        <v>554</v>
      </c>
      <c r="B138" s="70">
        <v>450</v>
      </c>
      <c r="C138" s="70">
        <v>450.928</v>
      </c>
      <c r="D138" s="70">
        <v>178</v>
      </c>
      <c r="E138" s="70">
        <v>11</v>
      </c>
      <c r="F138" s="71"/>
      <c r="G138" s="71">
        <v>-1</v>
      </c>
      <c r="H138" s="70">
        <v>283</v>
      </c>
      <c r="I138" s="70"/>
      <c r="J138">
        <v>283.98950000000002</v>
      </c>
      <c r="K138" s="71">
        <v>-1</v>
      </c>
      <c r="L138" t="s">
        <v>660</v>
      </c>
    </row>
    <row r="139" spans="1:12" x14ac:dyDescent="0.25">
      <c r="A139" s="70" t="s">
        <v>554</v>
      </c>
      <c r="B139" s="70">
        <v>450</v>
      </c>
      <c r="C139" s="70">
        <v>450.928</v>
      </c>
      <c r="D139" s="70">
        <v>178</v>
      </c>
      <c r="E139" s="70">
        <v>11</v>
      </c>
      <c r="F139" s="71"/>
      <c r="G139" s="71">
        <v>-1</v>
      </c>
      <c r="H139" s="70">
        <v>261</v>
      </c>
      <c r="I139" s="70"/>
      <c r="J139">
        <v>261.98520000000002</v>
      </c>
      <c r="K139" s="71">
        <v>-1</v>
      </c>
      <c r="L139" t="s">
        <v>660</v>
      </c>
    </row>
    <row r="140" spans="1:12" x14ac:dyDescent="0.25">
      <c r="A140" s="70" t="s">
        <v>554</v>
      </c>
      <c r="B140" s="70">
        <v>450</v>
      </c>
      <c r="C140" s="70">
        <v>450.928</v>
      </c>
      <c r="D140" s="70">
        <v>178</v>
      </c>
      <c r="E140" s="70">
        <v>11</v>
      </c>
      <c r="F140" s="71"/>
      <c r="G140" s="71">
        <v>-1</v>
      </c>
      <c r="H140" s="70">
        <v>132</v>
      </c>
      <c r="I140" s="70"/>
      <c r="J140" s="70">
        <v>132.9589</v>
      </c>
      <c r="K140" s="71">
        <v>-1</v>
      </c>
      <c r="L140" t="s">
        <v>642</v>
      </c>
    </row>
    <row r="141" spans="1:12" x14ac:dyDescent="0.25">
      <c r="A141" s="70" t="s">
        <v>554</v>
      </c>
      <c r="B141" s="70">
        <v>450</v>
      </c>
      <c r="C141" s="70">
        <v>450.928</v>
      </c>
      <c r="D141" s="70">
        <v>178</v>
      </c>
      <c r="E141" s="70">
        <v>11</v>
      </c>
      <c r="F141" s="71"/>
      <c r="G141" s="71">
        <v>-1</v>
      </c>
      <c r="H141" s="70">
        <v>82</v>
      </c>
      <c r="I141" s="70"/>
      <c r="J141" s="70">
        <v>82.9619</v>
      </c>
      <c r="K141" s="71">
        <v>-1</v>
      </c>
      <c r="L141" t="s">
        <v>663</v>
      </c>
    </row>
    <row r="142" spans="1:12" x14ac:dyDescent="0.25">
      <c r="A142" s="70" t="s">
        <v>554</v>
      </c>
      <c r="B142" s="70">
        <v>450</v>
      </c>
      <c r="C142" s="70">
        <v>450.928</v>
      </c>
      <c r="D142" s="70">
        <v>178</v>
      </c>
      <c r="E142" s="70">
        <v>11</v>
      </c>
      <c r="F142" s="71"/>
      <c r="G142" s="71">
        <v>-1</v>
      </c>
      <c r="H142" s="70">
        <v>243</v>
      </c>
      <c r="I142" s="70"/>
      <c r="J142" s="70">
        <v>243.9913</v>
      </c>
      <c r="K142" s="71">
        <v>-1</v>
      </c>
      <c r="L142" t="s">
        <v>660</v>
      </c>
    </row>
    <row r="143" spans="1:12" x14ac:dyDescent="0.25">
      <c r="A143" s="70" t="s">
        <v>554</v>
      </c>
      <c r="B143" s="70">
        <v>450</v>
      </c>
      <c r="C143" s="70">
        <v>450.928</v>
      </c>
      <c r="D143" s="70">
        <v>178</v>
      </c>
      <c r="E143" s="70">
        <v>11</v>
      </c>
      <c r="F143" s="71"/>
      <c r="G143" s="71">
        <v>-1</v>
      </c>
      <c r="H143" s="70">
        <v>116</v>
      </c>
      <c r="I143" s="70"/>
      <c r="J143" s="70">
        <v>116.9346</v>
      </c>
      <c r="K143" s="71">
        <v>-1</v>
      </c>
      <c r="L143" t="s">
        <v>642</v>
      </c>
    </row>
    <row r="144" spans="1:12" x14ac:dyDescent="0.25">
      <c r="A144" s="70" t="s">
        <v>554</v>
      </c>
      <c r="B144" s="70">
        <v>450</v>
      </c>
      <c r="C144" s="70">
        <v>450.928</v>
      </c>
      <c r="D144" s="70">
        <v>178</v>
      </c>
      <c r="E144" s="70">
        <v>11</v>
      </c>
      <c r="F144" s="71"/>
      <c r="G144" s="71">
        <v>-1</v>
      </c>
      <c r="H144" s="16" t="s">
        <v>650</v>
      </c>
      <c r="I144" s="16" t="s">
        <v>650</v>
      </c>
      <c r="K144" t="s">
        <v>455</v>
      </c>
      <c r="L144" s="16" t="s">
        <v>667</v>
      </c>
    </row>
    <row r="145" spans="1:12" x14ac:dyDescent="0.25">
      <c r="A145" s="70" t="s">
        <v>554</v>
      </c>
      <c r="B145" s="70">
        <v>450</v>
      </c>
      <c r="C145" s="70">
        <v>450.928</v>
      </c>
      <c r="D145" s="70">
        <v>178</v>
      </c>
      <c r="E145" s="70">
        <v>11</v>
      </c>
      <c r="F145" s="71"/>
      <c r="G145" s="71">
        <v>-1</v>
      </c>
      <c r="H145" s="16" t="s">
        <v>649</v>
      </c>
      <c r="I145" s="16" t="s">
        <v>649</v>
      </c>
      <c r="K145" t="s">
        <v>455</v>
      </c>
      <c r="L145" s="16" t="s">
        <v>666</v>
      </c>
    </row>
  </sheetData>
  <phoneticPr fontId="10" type="noConversion"/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C5A49-803F-4B25-8381-AAD83366DB41}">
  <dimension ref="A1:L7"/>
  <sheetViews>
    <sheetView zoomScale="80" zoomScaleNormal="80" workbookViewId="0">
      <selection sqref="A1:L1"/>
    </sheetView>
  </sheetViews>
  <sheetFormatPr defaultRowHeight="15" x14ac:dyDescent="0.25"/>
  <cols>
    <col min="1" max="1" width="16.42578125" bestFit="1" customWidth="1"/>
    <col min="2" max="2" width="16.28515625" bestFit="1" customWidth="1"/>
    <col min="3" max="3" width="12.85546875" bestFit="1" customWidth="1"/>
    <col min="4" max="4" width="13.42578125" bestFit="1" customWidth="1"/>
    <col min="5" max="5" width="12.42578125" bestFit="1" customWidth="1"/>
    <col min="6" max="6" width="18.42578125" bestFit="1" customWidth="1"/>
    <col min="7" max="7" width="17" bestFit="1" customWidth="1"/>
    <col min="8" max="8" width="14.28515625" bestFit="1" customWidth="1"/>
    <col min="9" max="9" width="16.5703125" bestFit="1" customWidth="1"/>
    <col min="10" max="10" width="11" bestFit="1" customWidth="1"/>
    <col min="11" max="11" width="15.140625" bestFit="1" customWidth="1"/>
  </cols>
  <sheetData>
    <row r="1" spans="1:12" x14ac:dyDescent="0.25">
      <c r="A1" t="s">
        <v>342</v>
      </c>
      <c r="B1" t="s">
        <v>465</v>
      </c>
      <c r="C1" t="s">
        <v>346</v>
      </c>
      <c r="D1" t="s">
        <v>344</v>
      </c>
      <c r="E1" t="s">
        <v>345</v>
      </c>
      <c r="F1" t="s">
        <v>452</v>
      </c>
      <c r="G1" t="s">
        <v>453</v>
      </c>
      <c r="H1" t="s">
        <v>487</v>
      </c>
      <c r="I1" t="s">
        <v>488</v>
      </c>
      <c r="J1" t="s">
        <v>489</v>
      </c>
      <c r="K1" t="s">
        <v>490</v>
      </c>
      <c r="L1" t="s">
        <v>545</v>
      </c>
    </row>
    <row r="2" spans="1:12" x14ac:dyDescent="0.25">
      <c r="A2" t="s">
        <v>543</v>
      </c>
      <c r="B2">
        <v>2130</v>
      </c>
      <c r="C2">
        <v>562.95360000000005</v>
      </c>
      <c r="D2">
        <v>181.61</v>
      </c>
      <c r="E2">
        <v>11.711</v>
      </c>
      <c r="G2">
        <v>-1</v>
      </c>
    </row>
    <row r="3" spans="1:12" x14ac:dyDescent="0.25">
      <c r="A3" t="s">
        <v>543</v>
      </c>
      <c r="B3">
        <v>747</v>
      </c>
      <c r="C3">
        <v>518.96579999999994</v>
      </c>
      <c r="D3">
        <v>164.83</v>
      </c>
      <c r="E3">
        <v>11.804</v>
      </c>
      <c r="G3">
        <v>-1</v>
      </c>
    </row>
    <row r="4" spans="1:12" x14ac:dyDescent="0.25">
      <c r="A4" t="s">
        <v>543</v>
      </c>
      <c r="B4" t="s">
        <v>543</v>
      </c>
      <c r="C4" s="29">
        <v>518.96701499999995</v>
      </c>
      <c r="D4" s="28">
        <v>163.36251062545799</v>
      </c>
      <c r="E4" s="45">
        <v>11.7</v>
      </c>
      <c r="F4" s="34" t="s">
        <v>177</v>
      </c>
      <c r="G4" s="34" t="s">
        <v>518</v>
      </c>
      <c r="J4" t="s">
        <v>548</v>
      </c>
    </row>
    <row r="5" spans="1:12" x14ac:dyDescent="0.25">
      <c r="A5" t="s">
        <v>543</v>
      </c>
      <c r="B5" t="s">
        <v>543</v>
      </c>
      <c r="C5" s="29">
        <v>562.95684500000004</v>
      </c>
      <c r="D5" s="28">
        <v>182.86303784594901</v>
      </c>
      <c r="E5" s="45">
        <v>11.7</v>
      </c>
      <c r="F5" s="34" t="s">
        <v>177</v>
      </c>
      <c r="G5" s="34" t="s">
        <v>520</v>
      </c>
      <c r="L5" t="s">
        <v>547</v>
      </c>
    </row>
    <row r="6" spans="1:12" x14ac:dyDescent="0.25">
      <c r="A6" t="s">
        <v>543</v>
      </c>
      <c r="B6" t="s">
        <v>543</v>
      </c>
      <c r="C6" s="29">
        <v>518.96701499999995</v>
      </c>
      <c r="D6" s="28">
        <v>163.36251062545799</v>
      </c>
      <c r="E6" s="45">
        <v>11.9</v>
      </c>
      <c r="F6" s="34" t="s">
        <v>177</v>
      </c>
      <c r="G6" s="34" t="s">
        <v>518</v>
      </c>
      <c r="J6" t="s">
        <v>544</v>
      </c>
      <c r="L6" t="s">
        <v>546</v>
      </c>
    </row>
    <row r="7" spans="1:12" x14ac:dyDescent="0.25">
      <c r="A7" t="s">
        <v>543</v>
      </c>
      <c r="B7" t="s">
        <v>543</v>
      </c>
      <c r="C7" s="29">
        <v>562.95684500000004</v>
      </c>
      <c r="D7" s="28">
        <v>182.86303784594901</v>
      </c>
      <c r="E7" s="45">
        <v>11.9</v>
      </c>
      <c r="F7" s="34" t="s">
        <v>177</v>
      </c>
      <c r="G7" s="34" t="s">
        <v>520</v>
      </c>
      <c r="J7">
        <v>168.99100000000001</v>
      </c>
      <c r="L7" t="s">
        <v>547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1F578-14C1-48BC-971F-EDF671AEC2A8}">
  <dimension ref="A1:K9"/>
  <sheetViews>
    <sheetView zoomScale="80" zoomScaleNormal="80" workbookViewId="0">
      <selection activeCell="D5" sqref="D5"/>
    </sheetView>
  </sheetViews>
  <sheetFormatPr defaultRowHeight="15" x14ac:dyDescent="0.25"/>
  <cols>
    <col min="1" max="1" width="16.42578125" bestFit="1" customWidth="1"/>
    <col min="2" max="2" width="16.28515625" bestFit="1" customWidth="1"/>
    <col min="3" max="3" width="12.85546875" bestFit="1" customWidth="1"/>
    <col min="4" max="4" width="13.42578125" bestFit="1" customWidth="1"/>
    <col min="5" max="5" width="12.42578125" bestFit="1" customWidth="1"/>
    <col min="6" max="6" width="18.42578125" bestFit="1" customWidth="1"/>
    <col min="7" max="7" width="17" bestFit="1" customWidth="1"/>
    <col min="8" max="8" width="14.28515625" bestFit="1" customWidth="1"/>
    <col min="9" max="9" width="16.5703125" bestFit="1" customWidth="1"/>
    <col min="10" max="10" width="11" bestFit="1" customWidth="1"/>
    <col min="11" max="11" width="15.140625" bestFit="1" customWidth="1"/>
  </cols>
  <sheetData>
    <row r="1" spans="1:11" x14ac:dyDescent="0.25">
      <c r="A1" t="s">
        <v>342</v>
      </c>
      <c r="B1" t="s">
        <v>465</v>
      </c>
      <c r="C1" t="s">
        <v>346</v>
      </c>
      <c r="D1" t="s">
        <v>344</v>
      </c>
      <c r="E1" t="s">
        <v>345</v>
      </c>
      <c r="F1" t="s">
        <v>452</v>
      </c>
      <c r="G1" t="s">
        <v>453</v>
      </c>
      <c r="H1" t="s">
        <v>487</v>
      </c>
      <c r="I1" t="s">
        <v>488</v>
      </c>
      <c r="J1" t="s">
        <v>489</v>
      </c>
      <c r="K1" t="s">
        <v>490</v>
      </c>
    </row>
    <row r="2" spans="1:11" x14ac:dyDescent="0.25">
      <c r="A2" t="s">
        <v>538</v>
      </c>
      <c r="B2" t="s">
        <v>538</v>
      </c>
      <c r="C2">
        <v>762.94352279999998</v>
      </c>
      <c r="D2">
        <v>218.55</v>
      </c>
      <c r="E2">
        <v>13.7</v>
      </c>
      <c r="F2" t="s">
        <v>540</v>
      </c>
      <c r="G2" t="s">
        <v>464</v>
      </c>
    </row>
    <row r="3" spans="1:11" x14ac:dyDescent="0.25">
      <c r="A3" t="s">
        <v>538</v>
      </c>
      <c r="B3" t="s">
        <v>538</v>
      </c>
      <c r="C3">
        <v>718.95240000000001</v>
      </c>
      <c r="D3">
        <v>218.55</v>
      </c>
      <c r="E3">
        <v>13.7</v>
      </c>
      <c r="F3" t="s">
        <v>540</v>
      </c>
      <c r="G3" t="s">
        <v>539</v>
      </c>
    </row>
    <row r="9" spans="1:11" x14ac:dyDescent="0.25">
      <c r="F9" t="s">
        <v>541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D6C1E-458D-487F-ADF1-3674EE9D7438}">
  <dimension ref="A1:K27"/>
  <sheetViews>
    <sheetView zoomScale="80" zoomScaleNormal="80" workbookViewId="0">
      <selection sqref="A1:K1"/>
    </sheetView>
  </sheetViews>
  <sheetFormatPr defaultRowHeight="15" x14ac:dyDescent="0.25"/>
  <cols>
    <col min="1" max="1" width="16.42578125" bestFit="1" customWidth="1"/>
    <col min="2" max="2" width="23.140625" customWidth="1"/>
    <col min="3" max="3" width="12.85546875" bestFit="1" customWidth="1"/>
    <col min="4" max="4" width="13.42578125" bestFit="1" customWidth="1"/>
    <col min="5" max="5" width="12.42578125" bestFit="1" customWidth="1"/>
    <col min="6" max="6" width="18.42578125" bestFit="1" customWidth="1"/>
    <col min="7" max="7" width="17" bestFit="1" customWidth="1"/>
    <col min="8" max="8" width="14.28515625" bestFit="1" customWidth="1"/>
    <col min="9" max="9" width="16.5703125" bestFit="1" customWidth="1"/>
    <col min="10" max="10" width="11" bestFit="1" customWidth="1"/>
    <col min="11" max="11" width="15.140625" bestFit="1" customWidth="1"/>
  </cols>
  <sheetData>
    <row r="1" spans="1:11" x14ac:dyDescent="0.25">
      <c r="A1" t="s">
        <v>342</v>
      </c>
      <c r="B1" t="s">
        <v>465</v>
      </c>
      <c r="C1" t="s">
        <v>346</v>
      </c>
      <c r="D1" t="s">
        <v>344</v>
      </c>
      <c r="E1" t="s">
        <v>345</v>
      </c>
      <c r="F1" t="s">
        <v>452</v>
      </c>
      <c r="G1" t="s">
        <v>453</v>
      </c>
      <c r="H1" t="s">
        <v>487</v>
      </c>
      <c r="I1" t="s">
        <v>488</v>
      </c>
      <c r="J1" t="s">
        <v>489</v>
      </c>
      <c r="K1" t="s">
        <v>490</v>
      </c>
    </row>
    <row r="2" spans="1:11" x14ac:dyDescent="0.25">
      <c r="A2" t="s">
        <v>515</v>
      </c>
      <c r="B2" t="s">
        <v>536</v>
      </c>
      <c r="F2" s="36" t="s">
        <v>496</v>
      </c>
      <c r="G2" s="36" t="s">
        <v>455</v>
      </c>
    </row>
    <row r="3" spans="1:11" x14ac:dyDescent="0.25">
      <c r="A3" t="s">
        <v>515</v>
      </c>
      <c r="B3" s="36" t="s">
        <v>527</v>
      </c>
      <c r="C3" s="40">
        <v>184.98519999999999</v>
      </c>
      <c r="D3" s="41">
        <v>115.97</v>
      </c>
      <c r="E3" s="41">
        <v>7.3</v>
      </c>
      <c r="F3" s="36" t="s">
        <v>496</v>
      </c>
      <c r="G3" s="36" t="s">
        <v>455</v>
      </c>
      <c r="H3" t="s">
        <v>491</v>
      </c>
      <c r="I3" t="s">
        <v>496</v>
      </c>
      <c r="K3" t="s">
        <v>455</v>
      </c>
    </row>
    <row r="4" spans="1:11" x14ac:dyDescent="0.25">
      <c r="A4" t="s">
        <v>515</v>
      </c>
      <c r="B4" s="36" t="s">
        <v>528</v>
      </c>
      <c r="C4" s="40">
        <v>184.98519999999999</v>
      </c>
      <c r="D4" s="41">
        <v>115.97</v>
      </c>
      <c r="E4" s="41">
        <v>10.7</v>
      </c>
      <c r="F4" s="36" t="s">
        <v>496</v>
      </c>
      <c r="G4" s="36" t="s">
        <v>455</v>
      </c>
      <c r="H4" t="s">
        <v>491</v>
      </c>
      <c r="I4" t="s">
        <v>496</v>
      </c>
      <c r="K4" t="s">
        <v>455</v>
      </c>
    </row>
    <row r="5" spans="1:11" x14ac:dyDescent="0.25">
      <c r="A5" t="s">
        <v>515</v>
      </c>
      <c r="B5" s="36" t="s">
        <v>529</v>
      </c>
      <c r="C5" s="40">
        <v>184.98519999999999</v>
      </c>
      <c r="D5" s="41">
        <v>115.97</v>
      </c>
      <c r="E5" s="41">
        <v>11.164999999999999</v>
      </c>
      <c r="F5" s="36" t="s">
        <v>496</v>
      </c>
      <c r="G5" s="36" t="s">
        <v>455</v>
      </c>
      <c r="H5" t="s">
        <v>491</v>
      </c>
      <c r="I5" t="s">
        <v>496</v>
      </c>
      <c r="K5" t="s">
        <v>455</v>
      </c>
    </row>
    <row r="6" spans="1:11" x14ac:dyDescent="0.25">
      <c r="A6" t="s">
        <v>515</v>
      </c>
      <c r="B6" s="36" t="s">
        <v>530</v>
      </c>
      <c r="C6" s="40">
        <v>184.98519999999999</v>
      </c>
      <c r="D6" s="41">
        <v>115.97</v>
      </c>
      <c r="E6" s="41">
        <v>12.5</v>
      </c>
      <c r="F6" s="36" t="s">
        <v>496</v>
      </c>
      <c r="G6" s="36" t="s">
        <v>455</v>
      </c>
      <c r="H6" t="s">
        <v>491</v>
      </c>
      <c r="I6" t="s">
        <v>496</v>
      </c>
      <c r="K6" t="s">
        <v>455</v>
      </c>
    </row>
    <row r="7" spans="1:11" x14ac:dyDescent="0.25">
      <c r="A7" t="s">
        <v>515</v>
      </c>
      <c r="B7" s="37" t="s">
        <v>516</v>
      </c>
      <c r="C7" s="40">
        <v>284.97789799999998</v>
      </c>
      <c r="D7" s="42">
        <v>127.456935953902</v>
      </c>
      <c r="E7" s="43">
        <v>7.14</v>
      </c>
      <c r="F7" s="37" t="s">
        <v>517</v>
      </c>
      <c r="G7" s="37" t="s">
        <v>518</v>
      </c>
      <c r="H7" t="s">
        <v>491</v>
      </c>
      <c r="I7" s="37" t="s">
        <v>517</v>
      </c>
      <c r="K7" s="37" t="s">
        <v>518</v>
      </c>
    </row>
    <row r="8" spans="1:11" x14ac:dyDescent="0.25">
      <c r="A8" t="s">
        <v>515</v>
      </c>
      <c r="B8" s="36" t="s">
        <v>523</v>
      </c>
      <c r="C8" s="40">
        <v>450.9626844</v>
      </c>
      <c r="D8" s="42"/>
      <c r="E8" s="44">
        <v>10.7</v>
      </c>
      <c r="F8" s="36" t="s">
        <v>525</v>
      </c>
      <c r="G8" s="37" t="s">
        <v>518</v>
      </c>
      <c r="H8" t="s">
        <v>491</v>
      </c>
      <c r="I8" s="36" t="s">
        <v>525</v>
      </c>
      <c r="K8" s="37" t="s">
        <v>518</v>
      </c>
    </row>
    <row r="9" spans="1:11" x14ac:dyDescent="0.25">
      <c r="A9" t="s">
        <v>515</v>
      </c>
      <c r="B9" s="37" t="s">
        <v>521</v>
      </c>
      <c r="C9" s="40">
        <v>616.94801859999995</v>
      </c>
      <c r="D9" s="42"/>
      <c r="E9" s="41">
        <v>12.43</v>
      </c>
      <c r="F9" s="36" t="s">
        <v>522</v>
      </c>
      <c r="G9" s="37" t="s">
        <v>518</v>
      </c>
      <c r="H9" t="s">
        <v>491</v>
      </c>
      <c r="I9" s="36" t="s">
        <v>522</v>
      </c>
      <c r="K9" s="37" t="s">
        <v>518</v>
      </c>
    </row>
    <row r="10" spans="1:11" x14ac:dyDescent="0.25">
      <c r="A10" t="s">
        <v>515</v>
      </c>
      <c r="B10" s="37" t="s">
        <v>516</v>
      </c>
      <c r="C10" s="40">
        <v>328.96718019999997</v>
      </c>
      <c r="D10" s="42"/>
      <c r="E10" s="43">
        <v>7.14</v>
      </c>
      <c r="F10" s="37" t="s">
        <v>517</v>
      </c>
      <c r="G10" s="38" t="s">
        <v>520</v>
      </c>
      <c r="H10" t="s">
        <v>491</v>
      </c>
      <c r="I10" s="37" t="s">
        <v>517</v>
      </c>
      <c r="K10" s="38" t="s">
        <v>520</v>
      </c>
    </row>
    <row r="11" spans="1:11" x14ac:dyDescent="0.25">
      <c r="A11" t="s">
        <v>515</v>
      </c>
      <c r="B11" s="36" t="s">
        <v>523</v>
      </c>
      <c r="C11" s="40">
        <v>494.95251439999998</v>
      </c>
      <c r="D11" s="41"/>
      <c r="E11" s="44">
        <v>10.7</v>
      </c>
      <c r="F11" s="36" t="s">
        <v>525</v>
      </c>
      <c r="G11" s="38" t="s">
        <v>520</v>
      </c>
      <c r="H11" t="s">
        <v>491</v>
      </c>
      <c r="I11" s="36" t="s">
        <v>525</v>
      </c>
      <c r="K11" s="38" t="s">
        <v>520</v>
      </c>
    </row>
    <row r="12" spans="1:11" x14ac:dyDescent="0.25">
      <c r="A12" t="s">
        <v>515</v>
      </c>
      <c r="B12" s="37" t="s">
        <v>521</v>
      </c>
      <c r="C12" s="40">
        <v>660.93784860000005</v>
      </c>
      <c r="D12" s="41"/>
      <c r="E12" s="41">
        <v>12.43</v>
      </c>
      <c r="F12" s="36" t="s">
        <v>522</v>
      </c>
      <c r="G12" s="36" t="s">
        <v>520</v>
      </c>
      <c r="H12" t="s">
        <v>491</v>
      </c>
      <c r="I12" s="36" t="s">
        <v>522</v>
      </c>
      <c r="K12" s="36" t="s">
        <v>520</v>
      </c>
    </row>
    <row r="13" spans="1:11" x14ac:dyDescent="0.25">
      <c r="A13" t="s">
        <v>515</v>
      </c>
      <c r="B13" t="s">
        <v>526</v>
      </c>
      <c r="C13">
        <v>658.94218499999999</v>
      </c>
      <c r="E13" s="43">
        <v>7.14</v>
      </c>
      <c r="F13" s="37" t="s">
        <v>517</v>
      </c>
      <c r="G13" s="38" t="s">
        <v>531</v>
      </c>
      <c r="H13" t="s">
        <v>491</v>
      </c>
      <c r="I13" s="37" t="s">
        <v>517</v>
      </c>
      <c r="K13" s="38" t="s">
        <v>531</v>
      </c>
    </row>
    <row r="14" spans="1:11" x14ac:dyDescent="0.25">
      <c r="A14" t="s">
        <v>515</v>
      </c>
      <c r="B14" s="38" t="s">
        <v>524</v>
      </c>
      <c r="C14" s="40">
        <v>990.91279999999995</v>
      </c>
      <c r="D14" s="42">
        <v>240.87</v>
      </c>
      <c r="E14" s="44">
        <v>10.7</v>
      </c>
      <c r="F14" s="36" t="s">
        <v>525</v>
      </c>
      <c r="G14" s="38" t="s">
        <v>531</v>
      </c>
      <c r="H14" t="s">
        <v>491</v>
      </c>
      <c r="I14" s="36" t="s">
        <v>525</v>
      </c>
      <c r="K14" s="38" t="s">
        <v>531</v>
      </c>
    </row>
    <row r="15" spans="1:11" x14ac:dyDescent="0.25">
      <c r="A15" t="s">
        <v>515</v>
      </c>
      <c r="B15" s="36" t="s">
        <v>519</v>
      </c>
      <c r="C15" s="40">
        <v>1322.884</v>
      </c>
      <c r="D15" s="41">
        <v>278.77</v>
      </c>
      <c r="E15" s="41">
        <v>12.43</v>
      </c>
      <c r="F15" s="36" t="s">
        <v>522</v>
      </c>
      <c r="G15" s="36" t="s">
        <v>531</v>
      </c>
      <c r="H15" t="s">
        <v>491</v>
      </c>
      <c r="I15" s="36" t="s">
        <v>522</v>
      </c>
      <c r="K15" s="36" t="s">
        <v>531</v>
      </c>
    </row>
    <row r="16" spans="1:11" x14ac:dyDescent="0.25">
      <c r="A16" t="s">
        <v>515</v>
      </c>
      <c r="B16" s="39" t="s">
        <v>532</v>
      </c>
      <c r="C16" s="35"/>
      <c r="D16" s="35"/>
      <c r="E16" s="28">
        <v>11.2</v>
      </c>
      <c r="F16" s="39" t="s">
        <v>532</v>
      </c>
      <c r="G16" s="37" t="s">
        <v>518</v>
      </c>
      <c r="H16" s="34"/>
      <c r="I16" s="35"/>
      <c r="J16" s="35"/>
      <c r="K16" s="35"/>
    </row>
    <row r="17" spans="1:7" x14ac:dyDescent="0.25">
      <c r="A17" t="s">
        <v>515</v>
      </c>
      <c r="B17" s="36" t="s">
        <v>533</v>
      </c>
      <c r="E17" s="28">
        <v>11.2</v>
      </c>
      <c r="F17" s="36" t="s">
        <v>533</v>
      </c>
      <c r="G17" s="37" t="s">
        <v>518</v>
      </c>
    </row>
    <row r="18" spans="1:7" x14ac:dyDescent="0.25">
      <c r="A18" t="s">
        <v>515</v>
      </c>
      <c r="B18" s="39" t="s">
        <v>534</v>
      </c>
      <c r="E18" s="28">
        <v>11.2</v>
      </c>
      <c r="F18" s="39" t="s">
        <v>534</v>
      </c>
      <c r="G18" s="37" t="s">
        <v>518</v>
      </c>
    </row>
    <row r="19" spans="1:7" x14ac:dyDescent="0.25">
      <c r="A19" t="s">
        <v>515</v>
      </c>
      <c r="B19" s="36" t="s">
        <v>535</v>
      </c>
      <c r="E19" s="28">
        <v>11.2</v>
      </c>
      <c r="F19" s="36" t="s">
        <v>535</v>
      </c>
      <c r="G19" s="37" t="s">
        <v>518</v>
      </c>
    </row>
    <row r="20" spans="1:7" x14ac:dyDescent="0.25">
      <c r="A20" t="s">
        <v>515</v>
      </c>
      <c r="B20" s="39" t="s">
        <v>532</v>
      </c>
      <c r="E20" s="28">
        <v>11.2</v>
      </c>
      <c r="F20" s="39" t="s">
        <v>532</v>
      </c>
      <c r="G20" s="38" t="s">
        <v>520</v>
      </c>
    </row>
    <row r="21" spans="1:7" x14ac:dyDescent="0.25">
      <c r="A21" t="s">
        <v>515</v>
      </c>
      <c r="B21" s="36" t="s">
        <v>533</v>
      </c>
      <c r="E21" s="28">
        <v>11.2</v>
      </c>
      <c r="F21" s="36" t="s">
        <v>533</v>
      </c>
      <c r="G21" s="38" t="s">
        <v>520</v>
      </c>
    </row>
    <row r="22" spans="1:7" x14ac:dyDescent="0.25">
      <c r="A22" t="s">
        <v>515</v>
      </c>
      <c r="B22" s="39" t="s">
        <v>534</v>
      </c>
      <c r="E22" s="28">
        <v>11.2</v>
      </c>
      <c r="F22" s="39" t="s">
        <v>534</v>
      </c>
      <c r="G22" s="38" t="s">
        <v>520</v>
      </c>
    </row>
    <row r="23" spans="1:7" x14ac:dyDescent="0.25">
      <c r="A23" t="s">
        <v>515</v>
      </c>
      <c r="B23" s="36" t="s">
        <v>535</v>
      </c>
      <c r="E23" s="28">
        <v>11.2</v>
      </c>
      <c r="F23" s="36" t="s">
        <v>535</v>
      </c>
      <c r="G23" s="38" t="s">
        <v>520</v>
      </c>
    </row>
    <row r="24" spans="1:7" x14ac:dyDescent="0.25">
      <c r="A24" t="s">
        <v>515</v>
      </c>
      <c r="B24" s="39" t="s">
        <v>532</v>
      </c>
      <c r="E24" s="28">
        <v>11.2</v>
      </c>
      <c r="F24" s="39" t="s">
        <v>532</v>
      </c>
      <c r="G24" s="38" t="s">
        <v>531</v>
      </c>
    </row>
    <row r="25" spans="1:7" x14ac:dyDescent="0.25">
      <c r="A25" t="s">
        <v>515</v>
      </c>
      <c r="B25" s="36" t="s">
        <v>533</v>
      </c>
      <c r="E25" s="28">
        <v>11.2</v>
      </c>
      <c r="F25" s="36" t="s">
        <v>533</v>
      </c>
      <c r="G25" s="38" t="s">
        <v>531</v>
      </c>
    </row>
    <row r="26" spans="1:7" x14ac:dyDescent="0.25">
      <c r="A26" t="s">
        <v>515</v>
      </c>
      <c r="B26" s="39" t="s">
        <v>534</v>
      </c>
      <c r="E26" s="28">
        <v>11.2</v>
      </c>
      <c r="F26" s="39" t="s">
        <v>534</v>
      </c>
      <c r="G26" s="38" t="s">
        <v>531</v>
      </c>
    </row>
    <row r="27" spans="1:7" x14ac:dyDescent="0.25">
      <c r="A27" t="s">
        <v>515</v>
      </c>
      <c r="B27" s="36" t="s">
        <v>535</v>
      </c>
      <c r="E27" s="28">
        <v>11.2</v>
      </c>
      <c r="F27" s="36" t="s">
        <v>535</v>
      </c>
      <c r="G27" s="38" t="s">
        <v>531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CAEEE-06FA-48DB-95ED-980EEB529C1E}">
  <dimension ref="A1:K10"/>
  <sheetViews>
    <sheetView zoomScale="80" zoomScaleNormal="80" workbookViewId="0">
      <selection sqref="A1:K1"/>
    </sheetView>
  </sheetViews>
  <sheetFormatPr defaultRowHeight="15" x14ac:dyDescent="0.25"/>
  <cols>
    <col min="1" max="1" width="16.42578125" bestFit="1" customWidth="1"/>
    <col min="2" max="2" width="16.28515625" bestFit="1" customWidth="1"/>
    <col min="3" max="3" width="12.85546875" bestFit="1" customWidth="1"/>
    <col min="4" max="4" width="13.42578125" bestFit="1" customWidth="1"/>
    <col min="5" max="5" width="12.42578125" bestFit="1" customWidth="1"/>
    <col min="6" max="6" width="18.42578125" bestFit="1" customWidth="1"/>
    <col min="7" max="7" width="17" bestFit="1" customWidth="1"/>
    <col min="8" max="8" width="14.28515625" bestFit="1" customWidth="1"/>
    <col min="9" max="9" width="16.5703125" bestFit="1" customWidth="1"/>
    <col min="10" max="10" width="11" bestFit="1" customWidth="1"/>
    <col min="11" max="11" width="15.140625" bestFit="1" customWidth="1"/>
  </cols>
  <sheetData>
    <row r="1" spans="1:11" x14ac:dyDescent="0.25">
      <c r="A1" t="s">
        <v>342</v>
      </c>
      <c r="B1" t="s">
        <v>465</v>
      </c>
      <c r="C1" t="s">
        <v>346</v>
      </c>
      <c r="D1" t="s">
        <v>344</v>
      </c>
      <c r="E1" t="s">
        <v>345</v>
      </c>
      <c r="F1" t="s">
        <v>452</v>
      </c>
      <c r="G1" t="s">
        <v>453</v>
      </c>
      <c r="H1" t="s">
        <v>487</v>
      </c>
      <c r="I1" t="s">
        <v>488</v>
      </c>
      <c r="J1" t="s">
        <v>489</v>
      </c>
      <c r="K1" t="s">
        <v>490</v>
      </c>
    </row>
    <row r="2" spans="1:11" x14ac:dyDescent="0.25">
      <c r="A2" t="s">
        <v>503</v>
      </c>
      <c r="B2">
        <v>4751</v>
      </c>
      <c r="C2">
        <v>460.93110000000001</v>
      </c>
      <c r="D2">
        <v>159.59</v>
      </c>
      <c r="E2">
        <v>9.4860000000000007</v>
      </c>
      <c r="F2" t="s">
        <v>276</v>
      </c>
      <c r="G2" t="s">
        <v>464</v>
      </c>
      <c r="H2" t="s">
        <v>491</v>
      </c>
      <c r="I2" t="s">
        <v>276</v>
      </c>
      <c r="K2" t="s">
        <v>464</v>
      </c>
    </row>
    <row r="3" spans="1:11" x14ac:dyDescent="0.25">
      <c r="A3" t="s">
        <v>503</v>
      </c>
      <c r="B3">
        <v>4751</v>
      </c>
      <c r="C3">
        <v>460.93110000000001</v>
      </c>
      <c r="D3">
        <v>159.59</v>
      </c>
      <c r="E3">
        <v>9.4860000000000007</v>
      </c>
      <c r="F3" t="s">
        <v>276</v>
      </c>
      <c r="G3" t="s">
        <v>464</v>
      </c>
      <c r="H3" t="s">
        <v>504</v>
      </c>
      <c r="I3" t="s">
        <v>504</v>
      </c>
      <c r="K3" t="s">
        <v>455</v>
      </c>
    </row>
    <row r="4" spans="1:11" x14ac:dyDescent="0.25">
      <c r="A4" t="s">
        <v>503</v>
      </c>
      <c r="B4">
        <v>4751</v>
      </c>
      <c r="C4">
        <v>460.93110000000001</v>
      </c>
      <c r="D4">
        <v>159.59</v>
      </c>
      <c r="E4">
        <v>9.4860000000000007</v>
      </c>
      <c r="F4" t="s">
        <v>276</v>
      </c>
      <c r="G4" t="s">
        <v>464</v>
      </c>
      <c r="H4" t="s">
        <v>505</v>
      </c>
      <c r="I4" t="s">
        <v>505</v>
      </c>
      <c r="K4" t="s">
        <v>455</v>
      </c>
    </row>
    <row r="5" spans="1:11" x14ac:dyDescent="0.25">
      <c r="A5" t="s">
        <v>503</v>
      </c>
      <c r="B5">
        <v>4751</v>
      </c>
      <c r="C5">
        <v>460.93110000000001</v>
      </c>
      <c r="D5">
        <v>159.59</v>
      </c>
      <c r="E5">
        <v>9.4860000000000007</v>
      </c>
      <c r="F5" t="s">
        <v>276</v>
      </c>
      <c r="G5" t="s">
        <v>464</v>
      </c>
      <c r="H5" t="s">
        <v>506</v>
      </c>
      <c r="I5" t="s">
        <v>506</v>
      </c>
      <c r="K5" t="s">
        <v>455</v>
      </c>
    </row>
    <row r="6" spans="1:11" x14ac:dyDescent="0.25">
      <c r="A6" t="s">
        <v>503</v>
      </c>
      <c r="B6">
        <v>4751</v>
      </c>
      <c r="C6">
        <v>460.93110000000001</v>
      </c>
      <c r="D6">
        <v>159.59</v>
      </c>
      <c r="E6">
        <v>9.4860000000000007</v>
      </c>
      <c r="F6" t="s">
        <v>276</v>
      </c>
      <c r="G6" t="s">
        <v>464</v>
      </c>
      <c r="H6" t="s">
        <v>509</v>
      </c>
      <c r="I6" t="s">
        <v>509</v>
      </c>
      <c r="K6" t="s">
        <v>455</v>
      </c>
    </row>
    <row r="7" spans="1:11" x14ac:dyDescent="0.25">
      <c r="A7" t="s">
        <v>503</v>
      </c>
      <c r="B7">
        <v>4751</v>
      </c>
      <c r="C7">
        <v>460.93110000000001</v>
      </c>
      <c r="D7">
        <v>159.59</v>
      </c>
      <c r="E7">
        <v>9.4860000000000007</v>
      </c>
      <c r="F7" t="s">
        <v>276</v>
      </c>
      <c r="G7" t="s">
        <v>464</v>
      </c>
      <c r="H7" t="s">
        <v>510</v>
      </c>
      <c r="I7" t="s">
        <v>510</v>
      </c>
      <c r="K7" t="s">
        <v>455</v>
      </c>
    </row>
    <row r="8" spans="1:11" x14ac:dyDescent="0.25">
      <c r="A8" t="s">
        <v>503</v>
      </c>
      <c r="B8" t="s">
        <v>507</v>
      </c>
      <c r="C8" s="29">
        <v>460.93341099999998</v>
      </c>
      <c r="D8" s="28">
        <v>153.33985647353359</v>
      </c>
      <c r="E8" s="27">
        <v>9.0200000000000014</v>
      </c>
      <c r="F8" t="s">
        <v>276</v>
      </c>
      <c r="G8" t="s">
        <v>464</v>
      </c>
      <c r="H8" t="s">
        <v>491</v>
      </c>
      <c r="I8" t="s">
        <v>276</v>
      </c>
      <c r="K8" t="s">
        <v>464</v>
      </c>
    </row>
    <row r="9" spans="1:11" x14ac:dyDescent="0.25">
      <c r="A9" t="s">
        <v>503</v>
      </c>
      <c r="B9" t="s">
        <v>507</v>
      </c>
      <c r="C9" s="29">
        <v>460.93341099999998</v>
      </c>
      <c r="D9" s="28">
        <v>153.33985647353359</v>
      </c>
      <c r="E9" s="27">
        <v>9.0200000000000014</v>
      </c>
      <c r="F9" t="s">
        <v>276</v>
      </c>
      <c r="G9" t="s">
        <v>464</v>
      </c>
      <c r="H9" t="s">
        <v>508</v>
      </c>
      <c r="I9" t="s">
        <v>508</v>
      </c>
      <c r="K9" t="s">
        <v>455</v>
      </c>
    </row>
    <row r="10" spans="1:11" x14ac:dyDescent="0.25">
      <c r="A10" t="s">
        <v>503</v>
      </c>
      <c r="B10" t="s">
        <v>507</v>
      </c>
      <c r="C10" s="29">
        <v>460.93341099999998</v>
      </c>
      <c r="D10" s="28">
        <v>153.33985647353359</v>
      </c>
      <c r="E10" s="27">
        <v>9.0200000000000014</v>
      </c>
      <c r="F10" t="s">
        <v>276</v>
      </c>
      <c r="G10" t="s">
        <v>464</v>
      </c>
      <c r="H10" t="s">
        <v>510</v>
      </c>
      <c r="I10" t="s">
        <v>510</v>
      </c>
      <c r="K10" t="s">
        <v>455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7A4F8-F0EC-4885-9443-F853844AF84F}">
  <dimension ref="A1:K8"/>
  <sheetViews>
    <sheetView zoomScale="80" zoomScaleNormal="80" workbookViewId="0">
      <selection activeCell="E5" sqref="E5"/>
    </sheetView>
  </sheetViews>
  <sheetFormatPr defaultRowHeight="15" x14ac:dyDescent="0.25"/>
  <cols>
    <col min="1" max="1" width="20.85546875" bestFit="1" customWidth="1"/>
    <col min="2" max="2" width="9" bestFit="1" customWidth="1"/>
    <col min="3" max="3" width="7" bestFit="1" customWidth="1"/>
    <col min="4" max="4" width="14.85546875" bestFit="1" customWidth="1"/>
    <col min="5" max="5" width="19.42578125" bestFit="1" customWidth="1"/>
    <col min="6" max="6" width="84.140625" bestFit="1" customWidth="1"/>
    <col min="7" max="7" width="47.5703125" bestFit="1" customWidth="1"/>
    <col min="8" max="8" width="28.140625" customWidth="1"/>
  </cols>
  <sheetData>
    <row r="1" spans="1:11" x14ac:dyDescent="0.25">
      <c r="A1" t="s">
        <v>436</v>
      </c>
      <c r="B1" t="s">
        <v>6</v>
      </c>
      <c r="C1" t="s">
        <v>12</v>
      </c>
      <c r="D1" t="s">
        <v>7</v>
      </c>
      <c r="E1" t="s">
        <v>336</v>
      </c>
      <c r="F1" t="s">
        <v>340</v>
      </c>
      <c r="G1" t="s">
        <v>426</v>
      </c>
      <c r="H1" t="s">
        <v>4</v>
      </c>
      <c r="I1" t="s">
        <v>468</v>
      </c>
      <c r="J1" t="s">
        <v>469</v>
      </c>
    </row>
    <row r="2" spans="1:11" x14ac:dyDescent="0.25">
      <c r="A2">
        <v>1692</v>
      </c>
      <c r="B2">
        <v>314.93889999999999</v>
      </c>
      <c r="C2">
        <v>166.76</v>
      </c>
      <c r="D2">
        <v>11.195</v>
      </c>
      <c r="E2">
        <v>0.28125</v>
      </c>
      <c r="F2" t="s">
        <v>477</v>
      </c>
      <c r="G2" t="s">
        <v>458</v>
      </c>
    </row>
    <row r="3" spans="1:11" x14ac:dyDescent="0.25">
      <c r="A3">
        <v>2318</v>
      </c>
      <c r="B3">
        <v>514.92240000000004</v>
      </c>
      <c r="C3">
        <v>172</v>
      </c>
      <c r="D3">
        <v>10.638</v>
      </c>
      <c r="E3">
        <v>4.1666666666666664E-2</v>
      </c>
      <c r="F3" t="s">
        <v>460</v>
      </c>
      <c r="G3" t="s">
        <v>459</v>
      </c>
      <c r="J3" t="s">
        <v>470</v>
      </c>
    </row>
    <row r="4" spans="1:11" ht="15.75" x14ac:dyDescent="0.25">
      <c r="A4">
        <v>2857</v>
      </c>
      <c r="B4">
        <v>564.91869999999994</v>
      </c>
      <c r="C4">
        <v>181.89</v>
      </c>
      <c r="D4">
        <v>11.356</v>
      </c>
      <c r="E4">
        <v>4.1666666666666664E-2</v>
      </c>
      <c r="F4" t="s">
        <v>461</v>
      </c>
      <c r="G4" t="s">
        <v>428</v>
      </c>
      <c r="J4" t="s">
        <v>470</v>
      </c>
      <c r="K4" s="20"/>
    </row>
    <row r="5" spans="1:11" ht="15.75" x14ac:dyDescent="0.25">
      <c r="A5" t="s">
        <v>499</v>
      </c>
      <c r="B5">
        <v>314.93790000000001</v>
      </c>
      <c r="C5">
        <v>138</v>
      </c>
      <c r="D5">
        <v>6.31</v>
      </c>
      <c r="K5" s="20"/>
    </row>
    <row r="6" spans="1:11" x14ac:dyDescent="0.25">
      <c r="A6" t="s">
        <v>471</v>
      </c>
      <c r="B6">
        <v>364.93470000000002</v>
      </c>
      <c r="C6">
        <v>144.36000000000001</v>
      </c>
      <c r="D6">
        <v>7.1</v>
      </c>
      <c r="H6" t="s">
        <v>463</v>
      </c>
      <c r="I6" t="s">
        <v>464</v>
      </c>
      <c r="K6" t="s">
        <v>472</v>
      </c>
    </row>
    <row r="7" spans="1:11" x14ac:dyDescent="0.25">
      <c r="A7" t="s">
        <v>473</v>
      </c>
      <c r="B7">
        <v>414.93150000000003</v>
      </c>
      <c r="C7">
        <v>150.85</v>
      </c>
      <c r="D7">
        <v>8.4</v>
      </c>
      <c r="H7" t="s">
        <v>466</v>
      </c>
      <c r="I7" t="s">
        <v>464</v>
      </c>
      <c r="K7" t="s">
        <v>474</v>
      </c>
    </row>
    <row r="8" spans="1:11" x14ac:dyDescent="0.25">
      <c r="A8" t="s">
        <v>475</v>
      </c>
      <c r="B8">
        <v>464.92829999999998</v>
      </c>
      <c r="C8">
        <v>158.32</v>
      </c>
      <c r="D8">
        <v>9.5</v>
      </c>
      <c r="H8" t="s">
        <v>467</v>
      </c>
      <c r="I8" t="s">
        <v>464</v>
      </c>
      <c r="K8" t="s">
        <v>476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ECA5D-55CF-4304-B8CF-5C95BDDA741B}">
  <dimension ref="A1:K19"/>
  <sheetViews>
    <sheetView zoomScale="80" zoomScaleNormal="80" workbookViewId="0">
      <selection activeCell="D19" sqref="D19"/>
    </sheetView>
  </sheetViews>
  <sheetFormatPr defaultRowHeight="15" x14ac:dyDescent="0.25"/>
  <cols>
    <col min="1" max="1" width="14.85546875" bestFit="1" customWidth="1"/>
    <col min="2" max="2" width="14.7109375" bestFit="1" customWidth="1"/>
    <col min="3" max="3" width="12" bestFit="1" customWidth="1"/>
    <col min="4" max="4" width="12.7109375" bestFit="1" customWidth="1"/>
    <col min="5" max="5" width="11.5703125" bestFit="1" customWidth="1"/>
    <col min="6" max="6" width="16.85546875" bestFit="1" customWidth="1"/>
    <col min="7" max="7" width="15.85546875" bestFit="1" customWidth="1"/>
    <col min="8" max="8" width="14.28515625" bestFit="1" customWidth="1"/>
    <col min="9" max="9" width="16.5703125" bestFit="1" customWidth="1"/>
    <col min="10" max="10" width="11" bestFit="1" customWidth="1"/>
    <col min="11" max="11" width="15.140625" bestFit="1" customWidth="1"/>
  </cols>
  <sheetData>
    <row r="1" spans="1:11" x14ac:dyDescent="0.25">
      <c r="A1" t="s">
        <v>342</v>
      </c>
      <c r="B1" t="s">
        <v>465</v>
      </c>
      <c r="C1" t="s">
        <v>346</v>
      </c>
      <c r="D1" t="s">
        <v>344</v>
      </c>
      <c r="E1" t="s">
        <v>345</v>
      </c>
      <c r="F1" t="s">
        <v>452</v>
      </c>
      <c r="G1" t="s">
        <v>453</v>
      </c>
      <c r="H1" t="s">
        <v>487</v>
      </c>
      <c r="I1" t="s">
        <v>488</v>
      </c>
      <c r="J1" t="s">
        <v>489</v>
      </c>
      <c r="K1" t="s">
        <v>490</v>
      </c>
    </row>
    <row r="2" spans="1:11" x14ac:dyDescent="0.25">
      <c r="A2" t="s">
        <v>485</v>
      </c>
      <c r="B2">
        <v>1692</v>
      </c>
      <c r="C2">
        <v>314.93889999999999</v>
      </c>
      <c r="D2">
        <v>166.76</v>
      </c>
      <c r="E2">
        <v>11.195</v>
      </c>
      <c r="F2" t="s">
        <v>257</v>
      </c>
      <c r="G2" t="s">
        <v>464</v>
      </c>
      <c r="H2" t="s">
        <v>491</v>
      </c>
      <c r="I2" t="s">
        <v>257</v>
      </c>
      <c r="J2">
        <v>314.93889999999999</v>
      </c>
      <c r="K2" t="s">
        <v>464</v>
      </c>
    </row>
    <row r="3" spans="1:11" x14ac:dyDescent="0.25">
      <c r="A3" t="s">
        <v>485</v>
      </c>
      <c r="B3">
        <v>1692</v>
      </c>
      <c r="C3">
        <v>314.93889999999999</v>
      </c>
      <c r="D3">
        <v>166.76</v>
      </c>
      <c r="E3">
        <v>11.195</v>
      </c>
      <c r="F3" t="s">
        <v>257</v>
      </c>
      <c r="G3" t="s">
        <v>464</v>
      </c>
      <c r="H3" t="s">
        <v>497</v>
      </c>
      <c r="I3" t="s">
        <v>497</v>
      </c>
      <c r="K3" t="s">
        <v>455</v>
      </c>
    </row>
    <row r="4" spans="1:11" x14ac:dyDescent="0.25">
      <c r="A4" t="s">
        <v>485</v>
      </c>
      <c r="B4" t="s">
        <v>471</v>
      </c>
      <c r="C4">
        <v>364.93470000000002</v>
      </c>
      <c r="D4">
        <v>144.36000000000001</v>
      </c>
      <c r="E4">
        <v>7.1</v>
      </c>
      <c r="F4" t="s">
        <v>463</v>
      </c>
      <c r="G4" t="s">
        <v>464</v>
      </c>
      <c r="H4" t="s">
        <v>491</v>
      </c>
      <c r="I4" t="s">
        <v>463</v>
      </c>
      <c r="J4">
        <v>364.93470000000002</v>
      </c>
      <c r="K4" t="s">
        <v>464</v>
      </c>
    </row>
    <row r="5" spans="1:11" x14ac:dyDescent="0.25">
      <c r="A5" t="s">
        <v>485</v>
      </c>
      <c r="B5" t="s">
        <v>471</v>
      </c>
      <c r="C5">
        <v>364.93470000000002</v>
      </c>
      <c r="D5">
        <v>144.36000000000001</v>
      </c>
      <c r="E5">
        <v>7.1</v>
      </c>
      <c r="F5" t="s">
        <v>463</v>
      </c>
      <c r="G5" t="s">
        <v>464</v>
      </c>
      <c r="H5" t="s">
        <v>496</v>
      </c>
      <c r="I5" t="s">
        <v>496</v>
      </c>
      <c r="K5" t="s">
        <v>455</v>
      </c>
    </row>
    <row r="6" spans="1:11" x14ac:dyDescent="0.25">
      <c r="A6" t="s">
        <v>485</v>
      </c>
      <c r="B6" t="s">
        <v>473</v>
      </c>
      <c r="C6">
        <v>414.93150000000003</v>
      </c>
      <c r="D6">
        <v>150.85</v>
      </c>
      <c r="E6">
        <v>8.4</v>
      </c>
      <c r="F6" t="s">
        <v>466</v>
      </c>
      <c r="G6" t="s">
        <v>464</v>
      </c>
      <c r="H6" t="s">
        <v>491</v>
      </c>
      <c r="I6" t="s">
        <v>466</v>
      </c>
      <c r="J6">
        <v>414.93150000000003</v>
      </c>
      <c r="K6" t="s">
        <v>464</v>
      </c>
    </row>
    <row r="7" spans="1:11" x14ac:dyDescent="0.25">
      <c r="A7" t="s">
        <v>485</v>
      </c>
      <c r="B7" t="s">
        <v>473</v>
      </c>
      <c r="C7">
        <v>414.93150000000003</v>
      </c>
      <c r="D7">
        <v>150.85</v>
      </c>
      <c r="E7">
        <v>8.4</v>
      </c>
      <c r="F7" t="s">
        <v>466</v>
      </c>
      <c r="G7" t="s">
        <v>464</v>
      </c>
      <c r="H7" t="s">
        <v>492</v>
      </c>
      <c r="I7" t="s">
        <v>492</v>
      </c>
      <c r="K7" t="s">
        <v>455</v>
      </c>
    </row>
    <row r="8" spans="1:11" x14ac:dyDescent="0.25">
      <c r="A8" t="s">
        <v>485</v>
      </c>
      <c r="B8" t="s">
        <v>475</v>
      </c>
      <c r="C8">
        <v>464.92829999999998</v>
      </c>
      <c r="D8">
        <v>158.32</v>
      </c>
      <c r="E8">
        <v>9.5</v>
      </c>
      <c r="F8" t="s">
        <v>467</v>
      </c>
      <c r="G8" t="s">
        <v>464</v>
      </c>
      <c r="H8" t="s">
        <v>491</v>
      </c>
      <c r="I8" t="s">
        <v>467</v>
      </c>
      <c r="J8">
        <v>464.92829999999998</v>
      </c>
      <c r="K8" t="s">
        <v>464</v>
      </c>
    </row>
    <row r="9" spans="1:11" x14ac:dyDescent="0.25">
      <c r="A9" t="s">
        <v>485</v>
      </c>
      <c r="B9" t="s">
        <v>475</v>
      </c>
      <c r="C9">
        <v>464.92829999999998</v>
      </c>
      <c r="D9">
        <v>158.32</v>
      </c>
      <c r="E9">
        <v>9.5</v>
      </c>
      <c r="F9" t="s">
        <v>467</v>
      </c>
      <c r="G9" t="s">
        <v>464</v>
      </c>
      <c r="H9" t="s">
        <v>493</v>
      </c>
      <c r="I9" t="s">
        <v>493</v>
      </c>
      <c r="K9" t="s">
        <v>455</v>
      </c>
    </row>
    <row r="10" spans="1:11" x14ac:dyDescent="0.25">
      <c r="A10" t="s">
        <v>485</v>
      </c>
      <c r="B10">
        <v>2318</v>
      </c>
      <c r="C10">
        <v>514.92240000000004</v>
      </c>
      <c r="D10">
        <v>172</v>
      </c>
      <c r="E10">
        <v>10.638</v>
      </c>
      <c r="F10" t="s">
        <v>442</v>
      </c>
      <c r="G10" t="s">
        <v>464</v>
      </c>
      <c r="H10" t="s">
        <v>491</v>
      </c>
      <c r="I10" t="s">
        <v>442</v>
      </c>
      <c r="J10">
        <v>514.92240000000004</v>
      </c>
      <c r="K10" t="s">
        <v>464</v>
      </c>
    </row>
    <row r="11" spans="1:11" x14ac:dyDescent="0.25">
      <c r="A11" t="s">
        <v>485</v>
      </c>
      <c r="B11">
        <v>2318</v>
      </c>
      <c r="C11">
        <v>514.92240000000004</v>
      </c>
      <c r="D11">
        <v>172</v>
      </c>
      <c r="E11">
        <v>10.638</v>
      </c>
      <c r="F11" t="s">
        <v>442</v>
      </c>
      <c r="G11" t="s">
        <v>464</v>
      </c>
      <c r="H11" t="s">
        <v>494</v>
      </c>
      <c r="I11" t="s">
        <v>494</v>
      </c>
      <c r="K11" t="s">
        <v>455</v>
      </c>
    </row>
    <row r="12" spans="1:11" x14ac:dyDescent="0.25">
      <c r="A12" t="s">
        <v>485</v>
      </c>
      <c r="B12">
        <v>2857</v>
      </c>
      <c r="C12">
        <v>564.91869999999994</v>
      </c>
      <c r="D12">
        <v>181.89</v>
      </c>
      <c r="E12">
        <v>11.356</v>
      </c>
      <c r="F12" t="s">
        <v>486</v>
      </c>
      <c r="G12" t="s">
        <v>464</v>
      </c>
      <c r="H12" t="s">
        <v>491</v>
      </c>
      <c r="I12" t="s">
        <v>486</v>
      </c>
      <c r="J12">
        <v>564.91869999999994</v>
      </c>
      <c r="K12" t="s">
        <v>464</v>
      </c>
    </row>
    <row r="13" spans="1:11" x14ac:dyDescent="0.25">
      <c r="A13" t="s">
        <v>485</v>
      </c>
      <c r="B13">
        <v>2857</v>
      </c>
      <c r="C13">
        <v>564.91869999999994</v>
      </c>
      <c r="D13">
        <v>181.89</v>
      </c>
      <c r="E13">
        <v>11.356</v>
      </c>
      <c r="F13" t="s">
        <v>486</v>
      </c>
      <c r="G13" t="s">
        <v>464</v>
      </c>
      <c r="H13" t="s">
        <v>495</v>
      </c>
      <c r="I13" t="s">
        <v>495</v>
      </c>
      <c r="K13" t="s">
        <v>455</v>
      </c>
    </row>
    <row r="18" spans="2:4" x14ac:dyDescent="0.25">
      <c r="C18" t="s">
        <v>703</v>
      </c>
    </row>
    <row r="19" spans="2:4" x14ac:dyDescent="0.25">
      <c r="B19">
        <v>614.9181992</v>
      </c>
      <c r="C19" t="s">
        <v>704</v>
      </c>
      <c r="D19">
        <f>0.1924*B19+72.015</f>
        <v>190.32526152608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Likely</vt:lpstr>
      <vt:lpstr>Tentative (EPA match)</vt:lpstr>
      <vt:lpstr>Tentative (No EPA match)</vt:lpstr>
      <vt:lpstr>Detection frequencies</vt:lpstr>
      <vt:lpstr>Skyline</vt:lpstr>
      <vt:lpstr>Prioritized features</vt:lpstr>
      <vt:lpstr>MSMS list</vt:lpstr>
      <vt:lpstr>Potentially novel</vt:lpstr>
      <vt:lpstr>NewPFAS-Skyline</vt:lpstr>
      <vt:lpstr>mz480</vt:lpstr>
      <vt:lpstr>ID5135</vt:lpstr>
      <vt:lpstr>PFUdA</vt:lpstr>
      <vt:lpstr>PFPeDA</vt:lpstr>
      <vt:lpstr>PFECAs</vt:lpstr>
      <vt:lpstr>U-PFOS</vt:lpstr>
      <vt:lpstr>SPATTS</vt:lpstr>
      <vt:lpstr>PFAESA 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Boatman, Anna Kathryn</cp:lastModifiedBy>
  <dcterms:created xsi:type="dcterms:W3CDTF">2024-12-04T14:05:23Z</dcterms:created>
  <dcterms:modified xsi:type="dcterms:W3CDTF">2024-12-10T22:26:10Z</dcterms:modified>
</cp:coreProperties>
</file>