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FAS-IMplementor-for-Mass-Spectrometry--PIMMS-\PIMMS Validation work\Skyline comparison data\"/>
    </mc:Choice>
  </mc:AlternateContent>
  <xr:revisionPtr revIDLastSave="0" documentId="13_ncr:1_{AF0C796A-5DA8-4F52-A5BF-2FFA8A8F0C5E}" xr6:coauthVersionLast="47" xr6:coauthVersionMax="47" xr10:uidLastSave="{00000000-0000-0000-0000-000000000000}"/>
  <bookViews>
    <workbookView xWindow="28680" yWindow="-120" windowWidth="29040" windowHeight="15720" xr2:uid="{79560FBE-CED3-4771-A659-93F59127F910}"/>
  </bookViews>
  <sheets>
    <sheet name="Summary" sheetId="41" r:id="rId1"/>
    <sheet name="PFBS - Heavy" sheetId="1" r:id="rId2"/>
    <sheet name="PFPeS - Native" sheetId="2" r:id="rId3"/>
    <sheet name="PFHxS - Branched Native" sheetId="3" r:id="rId4"/>
    <sheet name="PFHxS - Linear Native" sheetId="4" r:id="rId5"/>
    <sheet name="PFHxS Heavy 402" sheetId="5" r:id="rId6"/>
    <sheet name="PFHxS Heavy 401" sheetId="6" r:id="rId7"/>
    <sheet name="PFECHS UPFOS" sheetId="7" r:id="rId8"/>
    <sheet name="PFHpS - Linear Native" sheetId="8" r:id="rId9"/>
    <sheet name="PFHpS - Branched Native" sheetId="9" r:id="rId10"/>
    <sheet name="PFOS - Linear Native" sheetId="10" r:id="rId11"/>
    <sheet name="PFOS - Branched Native" sheetId="11" r:id="rId12"/>
    <sheet name="PFOS - Heavy" sheetId="12" r:id="rId13"/>
    <sheet name="PFDS - Linear Native" sheetId="14" r:id="rId14"/>
    <sheet name="PFHxA - Heavy" sheetId="15" r:id="rId15"/>
    <sheet name="PFHpA - Native" sheetId="16" r:id="rId16"/>
    <sheet name="PFHpA - Heavy" sheetId="17" r:id="rId17"/>
    <sheet name="PFOA - Branched Native" sheetId="18" r:id="rId18"/>
    <sheet name="PFOA - Linear Native" sheetId="19" r:id="rId19"/>
    <sheet name="PFOA - Linear Heavy" sheetId="20" r:id="rId20"/>
    <sheet name="PFNA - Linear Native" sheetId="21" r:id="rId21"/>
    <sheet name="PFNA - Heavy" sheetId="22" r:id="rId22"/>
    <sheet name="PFDA - Linear Native" sheetId="23" r:id="rId23"/>
    <sheet name="PFDA - Heavy" sheetId="24" r:id="rId24"/>
    <sheet name="PFUdA - Heavy" sheetId="25" r:id="rId25"/>
    <sheet name="PFDoA - Heavy" sheetId="26" r:id="rId26"/>
    <sheet name="PFTeDA - Heavy" sheetId="27" r:id="rId27"/>
    <sheet name="42 FTS - Heavy" sheetId="28" r:id="rId28"/>
    <sheet name="62 FTS - Heavy" sheetId="29" r:id="rId29"/>
    <sheet name="82 FTS - Heavy" sheetId="30" r:id="rId30"/>
    <sheet name="FOSA - Heavy" sheetId="31" r:id="rId31"/>
    <sheet name="NMeFOSAA - Heavy" sheetId="33" r:id="rId32"/>
    <sheet name="NEtFOSAA - Heavy" sheetId="34" r:id="rId33"/>
    <sheet name="NMeFOSA - Heavy " sheetId="35" r:id="rId34"/>
    <sheet name="NMeFOSA - Heavy smaller peak" sheetId="36" r:id="rId35"/>
    <sheet name="NEtFOSA - Heavy" sheetId="37" r:id="rId36"/>
    <sheet name="NEtFOSA - Heavy smaller peak" sheetId="38" r:id="rId37"/>
    <sheet name="HFPO-DA Heavy" sheetId="40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40" l="1"/>
  <c r="B17" i="38"/>
  <c r="B17" i="37"/>
  <c r="B17" i="36"/>
  <c r="B17" i="35"/>
  <c r="B17" i="34"/>
  <c r="B17" i="33"/>
  <c r="B17" i="31"/>
  <c r="B17" i="30"/>
  <c r="B17" i="29"/>
  <c r="B17" i="28"/>
  <c r="B17" i="27"/>
  <c r="B17" i="26"/>
  <c r="B17" i="25"/>
  <c r="B17" i="24"/>
  <c r="B17" i="23"/>
  <c r="B17" i="22"/>
  <c r="B17" i="21"/>
  <c r="B17" i="20"/>
  <c r="B17" i="19"/>
  <c r="B17" i="18"/>
  <c r="B17" i="17"/>
  <c r="B17" i="16"/>
  <c r="B17" i="15"/>
  <c r="B17" i="14"/>
  <c r="B17" i="12"/>
  <c r="B17" i="10"/>
  <c r="B17" i="11"/>
  <c r="B17" i="8"/>
  <c r="B17" i="9"/>
  <c r="B17" i="7"/>
  <c r="B17" i="6"/>
  <c r="B17" i="5"/>
  <c r="B17" i="4"/>
  <c r="B17" i="3"/>
  <c r="B17" i="2"/>
  <c r="H17" i="1"/>
  <c r="D14" i="40"/>
  <c r="C14" i="40"/>
  <c r="E14" i="40" s="1"/>
  <c r="D13" i="40"/>
  <c r="C13" i="40"/>
  <c r="E13" i="40" s="1"/>
  <c r="D12" i="40"/>
  <c r="C12" i="40"/>
  <c r="E12" i="40" s="1"/>
  <c r="D11" i="40"/>
  <c r="C11" i="40"/>
  <c r="E11" i="40" s="1"/>
  <c r="D10" i="40"/>
  <c r="C10" i="40"/>
  <c r="E10" i="40" s="1"/>
  <c r="D9" i="40"/>
  <c r="C9" i="40"/>
  <c r="E9" i="40" s="1"/>
  <c r="D8" i="40"/>
  <c r="C8" i="40"/>
  <c r="E8" i="40" s="1"/>
  <c r="D7" i="40"/>
  <c r="C7" i="40"/>
  <c r="E7" i="40" s="1"/>
  <c r="D6" i="40"/>
  <c r="D5" i="40"/>
  <c r="D4" i="40"/>
  <c r="D3" i="40"/>
  <c r="D2" i="40"/>
  <c r="D14" i="38"/>
  <c r="C14" i="38"/>
  <c r="E14" i="38" s="1"/>
  <c r="D13" i="38"/>
  <c r="C13" i="38"/>
  <c r="E13" i="38" s="1"/>
  <c r="D12" i="38"/>
  <c r="C12" i="38"/>
  <c r="E12" i="38" s="1"/>
  <c r="D11" i="38"/>
  <c r="C11" i="38"/>
  <c r="E11" i="38" s="1"/>
  <c r="D10" i="38"/>
  <c r="C10" i="38"/>
  <c r="E10" i="38" s="1"/>
  <c r="D9" i="38"/>
  <c r="C9" i="38"/>
  <c r="E9" i="38" s="1"/>
  <c r="D8" i="38"/>
  <c r="C8" i="38"/>
  <c r="E8" i="38" s="1"/>
  <c r="D7" i="38"/>
  <c r="C7" i="38"/>
  <c r="E7" i="38" s="1"/>
  <c r="D6" i="38"/>
  <c r="D5" i="38"/>
  <c r="D4" i="38"/>
  <c r="D3" i="38"/>
  <c r="D2" i="38"/>
  <c r="D14" i="37"/>
  <c r="C14" i="37"/>
  <c r="E14" i="37" s="1"/>
  <c r="D13" i="37"/>
  <c r="C13" i="37"/>
  <c r="E13" i="37" s="1"/>
  <c r="D12" i="37"/>
  <c r="C12" i="37"/>
  <c r="E12" i="37" s="1"/>
  <c r="D11" i="37"/>
  <c r="C11" i="37"/>
  <c r="E11" i="37" s="1"/>
  <c r="D10" i="37"/>
  <c r="C10" i="37"/>
  <c r="E10" i="37" s="1"/>
  <c r="D9" i="37"/>
  <c r="C9" i="37"/>
  <c r="E9" i="37" s="1"/>
  <c r="D8" i="37"/>
  <c r="C8" i="37"/>
  <c r="E8" i="37" s="1"/>
  <c r="D7" i="37"/>
  <c r="C7" i="37"/>
  <c r="E7" i="37" s="1"/>
  <c r="E16" i="37" s="1"/>
  <c r="D6" i="37"/>
  <c r="D5" i="37"/>
  <c r="D4" i="37"/>
  <c r="D3" i="37"/>
  <c r="D2" i="37"/>
  <c r="D14" i="36"/>
  <c r="C14" i="36"/>
  <c r="E14" i="36" s="1"/>
  <c r="D13" i="36"/>
  <c r="C13" i="36"/>
  <c r="E13" i="36" s="1"/>
  <c r="D12" i="36"/>
  <c r="C12" i="36"/>
  <c r="E12" i="36" s="1"/>
  <c r="D11" i="36"/>
  <c r="C11" i="36"/>
  <c r="E11" i="36" s="1"/>
  <c r="D10" i="36"/>
  <c r="C10" i="36"/>
  <c r="E10" i="36" s="1"/>
  <c r="D9" i="36"/>
  <c r="C9" i="36"/>
  <c r="E9" i="36" s="1"/>
  <c r="D8" i="36"/>
  <c r="C8" i="36"/>
  <c r="E8" i="36" s="1"/>
  <c r="D7" i="36"/>
  <c r="C7" i="36"/>
  <c r="E7" i="36" s="1"/>
  <c r="D6" i="36"/>
  <c r="D5" i="36"/>
  <c r="D4" i="36"/>
  <c r="D3" i="36"/>
  <c r="D2" i="36"/>
  <c r="D16" i="36" s="1"/>
  <c r="D14" i="35"/>
  <c r="C14" i="35"/>
  <c r="E14" i="35" s="1"/>
  <c r="D13" i="35"/>
  <c r="C13" i="35"/>
  <c r="E13" i="35" s="1"/>
  <c r="D12" i="35"/>
  <c r="C12" i="35"/>
  <c r="E12" i="35" s="1"/>
  <c r="D11" i="35"/>
  <c r="C11" i="35"/>
  <c r="E11" i="35" s="1"/>
  <c r="D10" i="35"/>
  <c r="C10" i="35"/>
  <c r="E10" i="35" s="1"/>
  <c r="D9" i="35"/>
  <c r="C9" i="35"/>
  <c r="E9" i="35" s="1"/>
  <c r="D8" i="35"/>
  <c r="C8" i="35"/>
  <c r="E8" i="35" s="1"/>
  <c r="D7" i="35"/>
  <c r="C7" i="35"/>
  <c r="E7" i="35" s="1"/>
  <c r="D6" i="35"/>
  <c r="D5" i="35"/>
  <c r="D4" i="35"/>
  <c r="D3" i="35"/>
  <c r="D2" i="35"/>
  <c r="D14" i="34"/>
  <c r="C14" i="34"/>
  <c r="E14" i="34" s="1"/>
  <c r="D13" i="34"/>
  <c r="C13" i="34"/>
  <c r="E13" i="34" s="1"/>
  <c r="D12" i="34"/>
  <c r="C12" i="34"/>
  <c r="E12" i="34" s="1"/>
  <c r="D11" i="34"/>
  <c r="C11" i="34"/>
  <c r="E11" i="34" s="1"/>
  <c r="D10" i="34"/>
  <c r="C10" i="34"/>
  <c r="E10" i="34" s="1"/>
  <c r="D9" i="34"/>
  <c r="C9" i="34"/>
  <c r="E9" i="34" s="1"/>
  <c r="D8" i="34"/>
  <c r="C8" i="34"/>
  <c r="E8" i="34" s="1"/>
  <c r="D7" i="34"/>
  <c r="C7" i="34"/>
  <c r="E7" i="34" s="1"/>
  <c r="E16" i="34" s="1"/>
  <c r="D6" i="34"/>
  <c r="D5" i="34"/>
  <c r="D4" i="34"/>
  <c r="D3" i="34"/>
  <c r="D2" i="34"/>
  <c r="D14" i="33"/>
  <c r="C14" i="33"/>
  <c r="E14" i="33" s="1"/>
  <c r="D13" i="33"/>
  <c r="C13" i="33"/>
  <c r="E13" i="33" s="1"/>
  <c r="D12" i="33"/>
  <c r="C12" i="33"/>
  <c r="E12" i="33" s="1"/>
  <c r="D11" i="33"/>
  <c r="C11" i="33"/>
  <c r="E11" i="33" s="1"/>
  <c r="D10" i="33"/>
  <c r="C10" i="33"/>
  <c r="E10" i="33" s="1"/>
  <c r="D9" i="33"/>
  <c r="C9" i="33"/>
  <c r="E9" i="33" s="1"/>
  <c r="D8" i="33"/>
  <c r="C8" i="33"/>
  <c r="E8" i="33" s="1"/>
  <c r="D7" i="33"/>
  <c r="C7" i="33"/>
  <c r="E7" i="33" s="1"/>
  <c r="E16" i="33" s="1"/>
  <c r="D6" i="33"/>
  <c r="D5" i="33"/>
  <c r="D4" i="33"/>
  <c r="D3" i="33"/>
  <c r="D2" i="33"/>
  <c r="D14" i="31"/>
  <c r="C14" i="31"/>
  <c r="E14" i="31" s="1"/>
  <c r="D13" i="31"/>
  <c r="C13" i="31"/>
  <c r="E13" i="31" s="1"/>
  <c r="D12" i="31"/>
  <c r="C12" i="31"/>
  <c r="E12" i="31" s="1"/>
  <c r="D11" i="31"/>
  <c r="C11" i="31"/>
  <c r="E11" i="31" s="1"/>
  <c r="D10" i="31"/>
  <c r="C10" i="31"/>
  <c r="E10" i="31" s="1"/>
  <c r="D9" i="31"/>
  <c r="C9" i="31"/>
  <c r="E9" i="31" s="1"/>
  <c r="D8" i="31"/>
  <c r="C8" i="31"/>
  <c r="E8" i="31" s="1"/>
  <c r="D7" i="31"/>
  <c r="C7" i="31"/>
  <c r="E7" i="31" s="1"/>
  <c r="D6" i="31"/>
  <c r="D5" i="31"/>
  <c r="D4" i="31"/>
  <c r="D3" i="31"/>
  <c r="D2" i="31"/>
  <c r="D14" i="30"/>
  <c r="C14" i="30"/>
  <c r="E14" i="30" s="1"/>
  <c r="D13" i="30"/>
  <c r="C13" i="30"/>
  <c r="E13" i="30" s="1"/>
  <c r="D12" i="30"/>
  <c r="C12" i="30"/>
  <c r="E12" i="30" s="1"/>
  <c r="D11" i="30"/>
  <c r="C11" i="30"/>
  <c r="E11" i="30" s="1"/>
  <c r="D10" i="30"/>
  <c r="C10" i="30"/>
  <c r="E10" i="30" s="1"/>
  <c r="D9" i="30"/>
  <c r="C9" i="30"/>
  <c r="E9" i="30" s="1"/>
  <c r="D8" i="30"/>
  <c r="C8" i="30"/>
  <c r="E8" i="30" s="1"/>
  <c r="D7" i="30"/>
  <c r="C7" i="30"/>
  <c r="E7" i="30" s="1"/>
  <c r="E16" i="30" s="1"/>
  <c r="D6" i="30"/>
  <c r="D5" i="30"/>
  <c r="D4" i="30"/>
  <c r="D3" i="30"/>
  <c r="D2" i="30"/>
  <c r="D16" i="30" s="1"/>
  <c r="D14" i="29"/>
  <c r="C14" i="29"/>
  <c r="E14" i="29" s="1"/>
  <c r="D13" i="29"/>
  <c r="C13" i="29"/>
  <c r="E13" i="29" s="1"/>
  <c r="D12" i="29"/>
  <c r="C12" i="29"/>
  <c r="E12" i="29" s="1"/>
  <c r="D11" i="29"/>
  <c r="C11" i="29"/>
  <c r="E11" i="29" s="1"/>
  <c r="D10" i="29"/>
  <c r="C10" i="29"/>
  <c r="E10" i="29" s="1"/>
  <c r="D9" i="29"/>
  <c r="C9" i="29"/>
  <c r="E9" i="29" s="1"/>
  <c r="D8" i="29"/>
  <c r="C8" i="29"/>
  <c r="E8" i="29" s="1"/>
  <c r="D7" i="29"/>
  <c r="C7" i="29"/>
  <c r="E7" i="29" s="1"/>
  <c r="E16" i="29" s="1"/>
  <c r="D6" i="29"/>
  <c r="D5" i="29"/>
  <c r="D4" i="29"/>
  <c r="D3" i="29"/>
  <c r="D2" i="29"/>
  <c r="D16" i="29" s="1"/>
  <c r="D14" i="28"/>
  <c r="C14" i="28"/>
  <c r="E14" i="28" s="1"/>
  <c r="D13" i="28"/>
  <c r="C13" i="28"/>
  <c r="E13" i="28" s="1"/>
  <c r="D12" i="28"/>
  <c r="C12" i="28"/>
  <c r="E12" i="28" s="1"/>
  <c r="D11" i="28"/>
  <c r="C11" i="28"/>
  <c r="E11" i="28" s="1"/>
  <c r="D10" i="28"/>
  <c r="C10" i="28"/>
  <c r="E10" i="28" s="1"/>
  <c r="D9" i="28"/>
  <c r="C9" i="28"/>
  <c r="E9" i="28" s="1"/>
  <c r="D8" i="28"/>
  <c r="C8" i="28"/>
  <c r="E8" i="28" s="1"/>
  <c r="D7" i="28"/>
  <c r="C7" i="28"/>
  <c r="E7" i="28" s="1"/>
  <c r="D6" i="28"/>
  <c r="D5" i="28"/>
  <c r="D4" i="28"/>
  <c r="D3" i="28"/>
  <c r="D2" i="28"/>
  <c r="D14" i="27"/>
  <c r="C14" i="27"/>
  <c r="E14" i="27" s="1"/>
  <c r="D13" i="27"/>
  <c r="C13" i="27"/>
  <c r="E13" i="27" s="1"/>
  <c r="D12" i="27"/>
  <c r="C12" i="27"/>
  <c r="E12" i="27" s="1"/>
  <c r="D11" i="27"/>
  <c r="C11" i="27"/>
  <c r="E11" i="27" s="1"/>
  <c r="D10" i="27"/>
  <c r="C10" i="27"/>
  <c r="E10" i="27" s="1"/>
  <c r="D9" i="27"/>
  <c r="C9" i="27"/>
  <c r="E9" i="27" s="1"/>
  <c r="D8" i="27"/>
  <c r="C8" i="27"/>
  <c r="E8" i="27" s="1"/>
  <c r="D7" i="27"/>
  <c r="C7" i="27"/>
  <c r="E7" i="27" s="1"/>
  <c r="E16" i="27" s="1"/>
  <c r="D6" i="27"/>
  <c r="D5" i="27"/>
  <c r="D4" i="27"/>
  <c r="D3" i="27"/>
  <c r="D2" i="27"/>
  <c r="D16" i="27" s="1"/>
  <c r="D14" i="26"/>
  <c r="C14" i="26"/>
  <c r="E14" i="26" s="1"/>
  <c r="D13" i="26"/>
  <c r="C13" i="26"/>
  <c r="E13" i="26" s="1"/>
  <c r="D12" i="26"/>
  <c r="C12" i="26"/>
  <c r="E12" i="26" s="1"/>
  <c r="D11" i="26"/>
  <c r="C11" i="26"/>
  <c r="E11" i="26" s="1"/>
  <c r="D10" i="26"/>
  <c r="C10" i="26"/>
  <c r="E10" i="26" s="1"/>
  <c r="D9" i="26"/>
  <c r="C9" i="26"/>
  <c r="E9" i="26" s="1"/>
  <c r="D8" i="26"/>
  <c r="C8" i="26"/>
  <c r="E8" i="26" s="1"/>
  <c r="D7" i="26"/>
  <c r="C7" i="26"/>
  <c r="E7" i="26" s="1"/>
  <c r="E16" i="26" s="1"/>
  <c r="D6" i="26"/>
  <c r="D5" i="26"/>
  <c r="D4" i="26"/>
  <c r="D3" i="26"/>
  <c r="D2" i="26"/>
  <c r="D14" i="25"/>
  <c r="C14" i="25"/>
  <c r="E14" i="25" s="1"/>
  <c r="D13" i="25"/>
  <c r="C13" i="25"/>
  <c r="E13" i="25" s="1"/>
  <c r="D12" i="25"/>
  <c r="C12" i="25"/>
  <c r="E12" i="25" s="1"/>
  <c r="D11" i="25"/>
  <c r="C11" i="25"/>
  <c r="E11" i="25" s="1"/>
  <c r="D10" i="25"/>
  <c r="C10" i="25"/>
  <c r="E10" i="25" s="1"/>
  <c r="D9" i="25"/>
  <c r="C9" i="25"/>
  <c r="E9" i="25" s="1"/>
  <c r="D8" i="25"/>
  <c r="C8" i="25"/>
  <c r="E8" i="25" s="1"/>
  <c r="D7" i="25"/>
  <c r="C7" i="25"/>
  <c r="E7" i="25" s="1"/>
  <c r="E16" i="25" s="1"/>
  <c r="D6" i="25"/>
  <c r="D5" i="25"/>
  <c r="D4" i="25"/>
  <c r="D3" i="25"/>
  <c r="D2" i="25"/>
  <c r="D14" i="24"/>
  <c r="C14" i="24"/>
  <c r="E14" i="24" s="1"/>
  <c r="D13" i="24"/>
  <c r="C13" i="24"/>
  <c r="E13" i="24" s="1"/>
  <c r="D12" i="24"/>
  <c r="C12" i="24"/>
  <c r="E12" i="24" s="1"/>
  <c r="D11" i="24"/>
  <c r="C11" i="24"/>
  <c r="E11" i="24" s="1"/>
  <c r="D10" i="24"/>
  <c r="C10" i="24"/>
  <c r="E10" i="24" s="1"/>
  <c r="D9" i="24"/>
  <c r="C9" i="24"/>
  <c r="E9" i="24" s="1"/>
  <c r="D8" i="24"/>
  <c r="C8" i="24"/>
  <c r="E8" i="24" s="1"/>
  <c r="D7" i="24"/>
  <c r="C7" i="24"/>
  <c r="E7" i="24" s="1"/>
  <c r="E16" i="24" s="1"/>
  <c r="D6" i="24"/>
  <c r="D5" i="24"/>
  <c r="D4" i="24"/>
  <c r="D3" i="24"/>
  <c r="D2" i="24"/>
  <c r="D14" i="23"/>
  <c r="C14" i="23"/>
  <c r="E14" i="23" s="1"/>
  <c r="D13" i="23"/>
  <c r="C13" i="23"/>
  <c r="E13" i="23" s="1"/>
  <c r="D12" i="23"/>
  <c r="C12" i="23"/>
  <c r="E12" i="23" s="1"/>
  <c r="D11" i="23"/>
  <c r="C11" i="23"/>
  <c r="E11" i="23" s="1"/>
  <c r="D10" i="23"/>
  <c r="C10" i="23"/>
  <c r="E10" i="23" s="1"/>
  <c r="D9" i="23"/>
  <c r="C9" i="23"/>
  <c r="E9" i="23" s="1"/>
  <c r="D8" i="23"/>
  <c r="C8" i="23"/>
  <c r="E8" i="23" s="1"/>
  <c r="D7" i="23"/>
  <c r="C7" i="23"/>
  <c r="E7" i="23" s="1"/>
  <c r="E16" i="23" s="1"/>
  <c r="D6" i="23"/>
  <c r="D5" i="23"/>
  <c r="D4" i="23"/>
  <c r="D3" i="23"/>
  <c r="D2" i="23"/>
  <c r="D16" i="23" s="1"/>
  <c r="D14" i="22"/>
  <c r="C14" i="22"/>
  <c r="E14" i="22" s="1"/>
  <c r="D13" i="22"/>
  <c r="C13" i="22"/>
  <c r="E13" i="22" s="1"/>
  <c r="D12" i="22"/>
  <c r="C12" i="22"/>
  <c r="E12" i="22" s="1"/>
  <c r="D11" i="22"/>
  <c r="C11" i="22"/>
  <c r="E11" i="22" s="1"/>
  <c r="D10" i="22"/>
  <c r="C10" i="22"/>
  <c r="E10" i="22" s="1"/>
  <c r="D9" i="22"/>
  <c r="C9" i="22"/>
  <c r="E9" i="22" s="1"/>
  <c r="D8" i="22"/>
  <c r="C8" i="22"/>
  <c r="E8" i="22" s="1"/>
  <c r="D7" i="22"/>
  <c r="C7" i="22"/>
  <c r="E7" i="22" s="1"/>
  <c r="D6" i="22"/>
  <c r="D5" i="22"/>
  <c r="D4" i="22"/>
  <c r="D3" i="22"/>
  <c r="D2" i="22"/>
  <c r="D14" i="21"/>
  <c r="C14" i="21"/>
  <c r="E14" i="21" s="1"/>
  <c r="D13" i="21"/>
  <c r="C13" i="21"/>
  <c r="E13" i="21" s="1"/>
  <c r="D12" i="21"/>
  <c r="C12" i="21"/>
  <c r="E12" i="21" s="1"/>
  <c r="D11" i="21"/>
  <c r="C11" i="21"/>
  <c r="E11" i="21" s="1"/>
  <c r="D10" i="21"/>
  <c r="C10" i="21"/>
  <c r="E10" i="21" s="1"/>
  <c r="D9" i="21"/>
  <c r="C9" i="21"/>
  <c r="E9" i="21" s="1"/>
  <c r="D8" i="21"/>
  <c r="C8" i="21"/>
  <c r="E8" i="21" s="1"/>
  <c r="D7" i="21"/>
  <c r="C7" i="21"/>
  <c r="E7" i="21" s="1"/>
  <c r="E16" i="21" s="1"/>
  <c r="D6" i="21"/>
  <c r="D5" i="21"/>
  <c r="D4" i="21"/>
  <c r="D3" i="21"/>
  <c r="D2" i="21"/>
  <c r="D14" i="20"/>
  <c r="C14" i="20"/>
  <c r="E14" i="20" s="1"/>
  <c r="D13" i="20"/>
  <c r="C13" i="20"/>
  <c r="E13" i="20" s="1"/>
  <c r="D12" i="20"/>
  <c r="C12" i="20"/>
  <c r="E12" i="20" s="1"/>
  <c r="D11" i="20"/>
  <c r="C11" i="20"/>
  <c r="E11" i="20" s="1"/>
  <c r="D10" i="20"/>
  <c r="C10" i="20"/>
  <c r="E10" i="20" s="1"/>
  <c r="D9" i="20"/>
  <c r="C9" i="20"/>
  <c r="E9" i="20" s="1"/>
  <c r="D8" i="20"/>
  <c r="C8" i="20"/>
  <c r="E8" i="20" s="1"/>
  <c r="D7" i="20"/>
  <c r="C7" i="20"/>
  <c r="E7" i="20" s="1"/>
  <c r="E16" i="20" s="1"/>
  <c r="D6" i="20"/>
  <c r="D5" i="20"/>
  <c r="D4" i="20"/>
  <c r="D3" i="20"/>
  <c r="D2" i="20"/>
  <c r="D14" i="19"/>
  <c r="C14" i="19"/>
  <c r="E14" i="19" s="1"/>
  <c r="D13" i="19"/>
  <c r="C13" i="19"/>
  <c r="E13" i="19" s="1"/>
  <c r="D12" i="19"/>
  <c r="C12" i="19"/>
  <c r="E12" i="19" s="1"/>
  <c r="D11" i="19"/>
  <c r="C11" i="19"/>
  <c r="E11" i="19" s="1"/>
  <c r="D10" i="19"/>
  <c r="C10" i="19"/>
  <c r="E10" i="19" s="1"/>
  <c r="D9" i="19"/>
  <c r="C9" i="19"/>
  <c r="E9" i="19" s="1"/>
  <c r="D8" i="19"/>
  <c r="C8" i="19"/>
  <c r="E8" i="19" s="1"/>
  <c r="D7" i="19"/>
  <c r="C7" i="19"/>
  <c r="E7" i="19" s="1"/>
  <c r="D6" i="19"/>
  <c r="D5" i="19"/>
  <c r="D4" i="19"/>
  <c r="D3" i="19"/>
  <c r="D2" i="19"/>
  <c r="D16" i="19" s="1"/>
  <c r="D14" i="18"/>
  <c r="C14" i="18"/>
  <c r="E14" i="18" s="1"/>
  <c r="D13" i="18"/>
  <c r="C13" i="18"/>
  <c r="E13" i="18" s="1"/>
  <c r="D12" i="18"/>
  <c r="C12" i="18"/>
  <c r="E12" i="18" s="1"/>
  <c r="D11" i="18"/>
  <c r="C11" i="18"/>
  <c r="E11" i="18" s="1"/>
  <c r="D10" i="18"/>
  <c r="C10" i="18"/>
  <c r="E10" i="18" s="1"/>
  <c r="D9" i="18"/>
  <c r="C9" i="18"/>
  <c r="E9" i="18" s="1"/>
  <c r="D8" i="18"/>
  <c r="C8" i="18"/>
  <c r="E8" i="18" s="1"/>
  <c r="D7" i="18"/>
  <c r="C7" i="18"/>
  <c r="E7" i="18" s="1"/>
  <c r="D6" i="18"/>
  <c r="D5" i="18"/>
  <c r="D4" i="18"/>
  <c r="D3" i="18"/>
  <c r="D2" i="18"/>
  <c r="D16" i="18" s="1"/>
  <c r="D14" i="17"/>
  <c r="C14" i="17"/>
  <c r="E14" i="17" s="1"/>
  <c r="D13" i="17"/>
  <c r="C13" i="17"/>
  <c r="E13" i="17" s="1"/>
  <c r="D12" i="17"/>
  <c r="C12" i="17"/>
  <c r="E12" i="17" s="1"/>
  <c r="D11" i="17"/>
  <c r="C11" i="17"/>
  <c r="E11" i="17" s="1"/>
  <c r="D10" i="17"/>
  <c r="C10" i="17"/>
  <c r="E10" i="17" s="1"/>
  <c r="D9" i="17"/>
  <c r="C9" i="17"/>
  <c r="E9" i="17" s="1"/>
  <c r="D8" i="17"/>
  <c r="C8" i="17"/>
  <c r="E8" i="17" s="1"/>
  <c r="D7" i="17"/>
  <c r="C7" i="17"/>
  <c r="E7" i="17" s="1"/>
  <c r="D6" i="17"/>
  <c r="D5" i="17"/>
  <c r="D4" i="17"/>
  <c r="D3" i="17"/>
  <c r="D2" i="17"/>
  <c r="D16" i="17" s="1"/>
  <c r="D14" i="16"/>
  <c r="C14" i="16"/>
  <c r="E14" i="16" s="1"/>
  <c r="D13" i="16"/>
  <c r="C13" i="16"/>
  <c r="E13" i="16" s="1"/>
  <c r="D12" i="16"/>
  <c r="C12" i="16"/>
  <c r="E12" i="16" s="1"/>
  <c r="D11" i="16"/>
  <c r="C11" i="16"/>
  <c r="E11" i="16" s="1"/>
  <c r="D10" i="16"/>
  <c r="C10" i="16"/>
  <c r="E10" i="16" s="1"/>
  <c r="D9" i="16"/>
  <c r="C9" i="16"/>
  <c r="E9" i="16" s="1"/>
  <c r="D8" i="16"/>
  <c r="C8" i="16"/>
  <c r="E8" i="16" s="1"/>
  <c r="D7" i="16"/>
  <c r="C7" i="16"/>
  <c r="E7" i="16" s="1"/>
  <c r="E16" i="16" s="1"/>
  <c r="D6" i="16"/>
  <c r="D5" i="16"/>
  <c r="D4" i="16"/>
  <c r="D3" i="16"/>
  <c r="D2" i="16"/>
  <c r="D16" i="16" s="1"/>
  <c r="D14" i="15"/>
  <c r="C14" i="15"/>
  <c r="E14" i="15" s="1"/>
  <c r="D13" i="15"/>
  <c r="C13" i="15"/>
  <c r="E13" i="15" s="1"/>
  <c r="D12" i="15"/>
  <c r="C12" i="15"/>
  <c r="E12" i="15" s="1"/>
  <c r="D11" i="15"/>
  <c r="C11" i="15"/>
  <c r="E11" i="15" s="1"/>
  <c r="D10" i="15"/>
  <c r="C10" i="15"/>
  <c r="E10" i="15" s="1"/>
  <c r="D9" i="15"/>
  <c r="C9" i="15"/>
  <c r="E9" i="15" s="1"/>
  <c r="D8" i="15"/>
  <c r="C8" i="15"/>
  <c r="E8" i="15" s="1"/>
  <c r="D7" i="15"/>
  <c r="C7" i="15"/>
  <c r="E7" i="15" s="1"/>
  <c r="E16" i="15" s="1"/>
  <c r="D6" i="15"/>
  <c r="D5" i="15"/>
  <c r="D4" i="15"/>
  <c r="D3" i="15"/>
  <c r="D2" i="15"/>
  <c r="D16" i="15" s="1"/>
  <c r="D14" i="14"/>
  <c r="C14" i="14"/>
  <c r="E14" i="14" s="1"/>
  <c r="D13" i="14"/>
  <c r="C13" i="14"/>
  <c r="E13" i="14" s="1"/>
  <c r="D12" i="14"/>
  <c r="C12" i="14"/>
  <c r="E12" i="14" s="1"/>
  <c r="D11" i="14"/>
  <c r="C11" i="14"/>
  <c r="E11" i="14" s="1"/>
  <c r="D10" i="14"/>
  <c r="C10" i="14"/>
  <c r="E10" i="14" s="1"/>
  <c r="D9" i="14"/>
  <c r="C9" i="14"/>
  <c r="E9" i="14" s="1"/>
  <c r="D8" i="14"/>
  <c r="C8" i="14"/>
  <c r="E8" i="14" s="1"/>
  <c r="D7" i="14"/>
  <c r="C7" i="14"/>
  <c r="E7" i="14" s="1"/>
  <c r="D6" i="14"/>
  <c r="D5" i="14"/>
  <c r="D4" i="14"/>
  <c r="D3" i="14"/>
  <c r="D2" i="14"/>
  <c r="D16" i="14" s="1"/>
  <c r="D14" i="12"/>
  <c r="C14" i="12"/>
  <c r="E14" i="12" s="1"/>
  <c r="D13" i="12"/>
  <c r="C13" i="12"/>
  <c r="E13" i="12" s="1"/>
  <c r="D12" i="12"/>
  <c r="C12" i="12"/>
  <c r="E12" i="12" s="1"/>
  <c r="D11" i="12"/>
  <c r="C11" i="12"/>
  <c r="E11" i="12" s="1"/>
  <c r="D10" i="12"/>
  <c r="C10" i="12"/>
  <c r="E10" i="12" s="1"/>
  <c r="D9" i="12"/>
  <c r="C9" i="12"/>
  <c r="E9" i="12" s="1"/>
  <c r="D8" i="12"/>
  <c r="C8" i="12"/>
  <c r="E8" i="12" s="1"/>
  <c r="D7" i="12"/>
  <c r="C7" i="12"/>
  <c r="E7" i="12" s="1"/>
  <c r="D6" i="12"/>
  <c r="D5" i="12"/>
  <c r="D4" i="12"/>
  <c r="D3" i="12"/>
  <c r="D2" i="12"/>
  <c r="D16" i="12" s="1"/>
  <c r="D14" i="11"/>
  <c r="C14" i="11"/>
  <c r="E14" i="11" s="1"/>
  <c r="D13" i="11"/>
  <c r="C13" i="11"/>
  <c r="E13" i="11" s="1"/>
  <c r="D12" i="11"/>
  <c r="C12" i="11"/>
  <c r="E12" i="11" s="1"/>
  <c r="D11" i="11"/>
  <c r="C11" i="11"/>
  <c r="E11" i="11" s="1"/>
  <c r="D10" i="11"/>
  <c r="C10" i="11"/>
  <c r="E10" i="11" s="1"/>
  <c r="D9" i="11"/>
  <c r="C9" i="11"/>
  <c r="E9" i="11" s="1"/>
  <c r="D8" i="11"/>
  <c r="C8" i="11"/>
  <c r="E8" i="11" s="1"/>
  <c r="D7" i="11"/>
  <c r="C7" i="11"/>
  <c r="E7" i="11" s="1"/>
  <c r="E16" i="11" s="1"/>
  <c r="D6" i="11"/>
  <c r="D5" i="11"/>
  <c r="D4" i="11"/>
  <c r="D3" i="11"/>
  <c r="D2" i="11"/>
  <c r="D14" i="10"/>
  <c r="C14" i="10"/>
  <c r="E14" i="10" s="1"/>
  <c r="D13" i="10"/>
  <c r="C13" i="10"/>
  <c r="E13" i="10" s="1"/>
  <c r="D12" i="10"/>
  <c r="C12" i="10"/>
  <c r="E12" i="10" s="1"/>
  <c r="D11" i="10"/>
  <c r="C11" i="10"/>
  <c r="E11" i="10" s="1"/>
  <c r="D10" i="10"/>
  <c r="C10" i="10"/>
  <c r="E10" i="10" s="1"/>
  <c r="D9" i="10"/>
  <c r="C9" i="10"/>
  <c r="E9" i="10" s="1"/>
  <c r="D8" i="10"/>
  <c r="C8" i="10"/>
  <c r="E8" i="10" s="1"/>
  <c r="D7" i="10"/>
  <c r="C7" i="10"/>
  <c r="E7" i="10" s="1"/>
  <c r="E16" i="10" s="1"/>
  <c r="D6" i="10"/>
  <c r="D5" i="10"/>
  <c r="D4" i="10"/>
  <c r="D3" i="10"/>
  <c r="D2" i="10"/>
  <c r="D14" i="9"/>
  <c r="C14" i="9"/>
  <c r="E14" i="9" s="1"/>
  <c r="D13" i="9"/>
  <c r="C13" i="9"/>
  <c r="E13" i="9" s="1"/>
  <c r="D12" i="9"/>
  <c r="C12" i="9"/>
  <c r="E12" i="9" s="1"/>
  <c r="D11" i="9"/>
  <c r="C11" i="9"/>
  <c r="E11" i="9" s="1"/>
  <c r="D10" i="9"/>
  <c r="C10" i="9"/>
  <c r="E10" i="9" s="1"/>
  <c r="D9" i="9"/>
  <c r="C9" i="9"/>
  <c r="E9" i="9" s="1"/>
  <c r="D8" i="9"/>
  <c r="C8" i="9"/>
  <c r="E8" i="9" s="1"/>
  <c r="D7" i="9"/>
  <c r="C7" i="9"/>
  <c r="E7" i="9" s="1"/>
  <c r="E16" i="9" s="1"/>
  <c r="D6" i="9"/>
  <c r="D5" i="9"/>
  <c r="D4" i="9"/>
  <c r="D3" i="9"/>
  <c r="D2" i="9"/>
  <c r="D16" i="9" s="1"/>
  <c r="D14" i="8"/>
  <c r="C14" i="8"/>
  <c r="E14" i="8" s="1"/>
  <c r="D13" i="8"/>
  <c r="C13" i="8"/>
  <c r="E13" i="8" s="1"/>
  <c r="D12" i="8"/>
  <c r="C12" i="8"/>
  <c r="E12" i="8" s="1"/>
  <c r="D11" i="8"/>
  <c r="C11" i="8"/>
  <c r="E11" i="8" s="1"/>
  <c r="D10" i="8"/>
  <c r="C10" i="8"/>
  <c r="E10" i="8" s="1"/>
  <c r="D9" i="8"/>
  <c r="C9" i="8"/>
  <c r="E9" i="8" s="1"/>
  <c r="D8" i="8"/>
  <c r="C8" i="8"/>
  <c r="E8" i="8" s="1"/>
  <c r="D7" i="8"/>
  <c r="C7" i="8"/>
  <c r="E7" i="8" s="1"/>
  <c r="E16" i="8" s="1"/>
  <c r="D6" i="8"/>
  <c r="D5" i="8"/>
  <c r="D4" i="8"/>
  <c r="D3" i="8"/>
  <c r="D2" i="8"/>
  <c r="D14" i="7"/>
  <c r="C14" i="7"/>
  <c r="E14" i="7" s="1"/>
  <c r="D13" i="7"/>
  <c r="C13" i="7"/>
  <c r="E13" i="7" s="1"/>
  <c r="D12" i="7"/>
  <c r="C12" i="7"/>
  <c r="E12" i="7" s="1"/>
  <c r="D11" i="7"/>
  <c r="C11" i="7"/>
  <c r="E11" i="7" s="1"/>
  <c r="D10" i="7"/>
  <c r="C10" i="7"/>
  <c r="E10" i="7" s="1"/>
  <c r="D9" i="7"/>
  <c r="C9" i="7"/>
  <c r="E9" i="7" s="1"/>
  <c r="D8" i="7"/>
  <c r="C8" i="7"/>
  <c r="E8" i="7" s="1"/>
  <c r="D7" i="7"/>
  <c r="C7" i="7"/>
  <c r="E7" i="7" s="1"/>
  <c r="E16" i="7" s="1"/>
  <c r="D6" i="7"/>
  <c r="D5" i="7"/>
  <c r="D4" i="7"/>
  <c r="D3" i="7"/>
  <c r="D2" i="7"/>
  <c r="D16" i="7" s="1"/>
  <c r="D14" i="6"/>
  <c r="C14" i="6"/>
  <c r="E14" i="6" s="1"/>
  <c r="D13" i="6"/>
  <c r="C13" i="6"/>
  <c r="E13" i="6" s="1"/>
  <c r="D12" i="6"/>
  <c r="C12" i="6"/>
  <c r="E12" i="6" s="1"/>
  <c r="D11" i="6"/>
  <c r="C11" i="6"/>
  <c r="E11" i="6" s="1"/>
  <c r="D10" i="6"/>
  <c r="C10" i="6"/>
  <c r="E10" i="6" s="1"/>
  <c r="D9" i="6"/>
  <c r="C9" i="6"/>
  <c r="E9" i="6" s="1"/>
  <c r="D8" i="6"/>
  <c r="C8" i="6"/>
  <c r="E8" i="6" s="1"/>
  <c r="D7" i="6"/>
  <c r="C7" i="6"/>
  <c r="E7" i="6" s="1"/>
  <c r="E16" i="6" s="1"/>
  <c r="D6" i="6"/>
  <c r="D5" i="6"/>
  <c r="D4" i="6"/>
  <c r="D3" i="6"/>
  <c r="D2" i="6"/>
  <c r="D14" i="5"/>
  <c r="C14" i="5"/>
  <c r="E14" i="5" s="1"/>
  <c r="D13" i="5"/>
  <c r="C13" i="5"/>
  <c r="E13" i="5" s="1"/>
  <c r="D12" i="5"/>
  <c r="C12" i="5"/>
  <c r="E12" i="5" s="1"/>
  <c r="D11" i="5"/>
  <c r="C11" i="5"/>
  <c r="E11" i="5" s="1"/>
  <c r="D10" i="5"/>
  <c r="C10" i="5"/>
  <c r="E10" i="5" s="1"/>
  <c r="D9" i="5"/>
  <c r="C9" i="5"/>
  <c r="E9" i="5" s="1"/>
  <c r="D8" i="5"/>
  <c r="C8" i="5"/>
  <c r="E8" i="5" s="1"/>
  <c r="D7" i="5"/>
  <c r="C7" i="5"/>
  <c r="E7" i="5" s="1"/>
  <c r="D6" i="5"/>
  <c r="D5" i="5"/>
  <c r="D4" i="5"/>
  <c r="D3" i="5"/>
  <c r="D2" i="5"/>
  <c r="D16" i="5" s="1"/>
  <c r="D14" i="4"/>
  <c r="C14" i="4"/>
  <c r="E14" i="4" s="1"/>
  <c r="D13" i="4"/>
  <c r="C13" i="4"/>
  <c r="E13" i="4" s="1"/>
  <c r="D12" i="4"/>
  <c r="C12" i="4"/>
  <c r="E12" i="4" s="1"/>
  <c r="D11" i="4"/>
  <c r="C11" i="4"/>
  <c r="E11" i="4" s="1"/>
  <c r="D10" i="4"/>
  <c r="C10" i="4"/>
  <c r="E10" i="4" s="1"/>
  <c r="D9" i="4"/>
  <c r="C9" i="4"/>
  <c r="E9" i="4" s="1"/>
  <c r="D8" i="4"/>
  <c r="C8" i="4"/>
  <c r="E8" i="4" s="1"/>
  <c r="D7" i="4"/>
  <c r="C7" i="4"/>
  <c r="E7" i="4" s="1"/>
  <c r="E16" i="4" s="1"/>
  <c r="D6" i="4"/>
  <c r="D5" i="4"/>
  <c r="D4" i="4"/>
  <c r="D3" i="4"/>
  <c r="D2" i="4"/>
  <c r="D16" i="4" s="1"/>
  <c r="D14" i="3"/>
  <c r="C14" i="3"/>
  <c r="E14" i="3" s="1"/>
  <c r="D13" i="3"/>
  <c r="C13" i="3"/>
  <c r="E13" i="3" s="1"/>
  <c r="D12" i="3"/>
  <c r="C12" i="3"/>
  <c r="E12" i="3" s="1"/>
  <c r="D11" i="3"/>
  <c r="C11" i="3"/>
  <c r="E11" i="3" s="1"/>
  <c r="D10" i="3"/>
  <c r="C10" i="3"/>
  <c r="E10" i="3" s="1"/>
  <c r="D9" i="3"/>
  <c r="C9" i="3"/>
  <c r="E9" i="3" s="1"/>
  <c r="D8" i="3"/>
  <c r="C8" i="3"/>
  <c r="E8" i="3" s="1"/>
  <c r="D7" i="3"/>
  <c r="C7" i="3"/>
  <c r="E7" i="3" s="1"/>
  <c r="D6" i="3"/>
  <c r="D5" i="3"/>
  <c r="D4" i="3"/>
  <c r="D3" i="3"/>
  <c r="D2" i="3"/>
  <c r="D16" i="3" s="1"/>
  <c r="D14" i="2"/>
  <c r="C14" i="2"/>
  <c r="E14" i="2" s="1"/>
  <c r="D13" i="2"/>
  <c r="C13" i="2"/>
  <c r="E13" i="2" s="1"/>
  <c r="D12" i="2"/>
  <c r="C12" i="2"/>
  <c r="E12" i="2" s="1"/>
  <c r="D11" i="2"/>
  <c r="C11" i="2"/>
  <c r="E11" i="2" s="1"/>
  <c r="D10" i="2"/>
  <c r="C10" i="2"/>
  <c r="E10" i="2" s="1"/>
  <c r="D9" i="2"/>
  <c r="C9" i="2"/>
  <c r="E9" i="2" s="1"/>
  <c r="D8" i="2"/>
  <c r="C8" i="2"/>
  <c r="E8" i="2" s="1"/>
  <c r="D7" i="2"/>
  <c r="C7" i="2"/>
  <c r="E7" i="2" s="1"/>
  <c r="D6" i="2"/>
  <c r="D5" i="2"/>
  <c r="D4" i="2"/>
  <c r="D3" i="2"/>
  <c r="D2" i="2"/>
  <c r="I8" i="1"/>
  <c r="I9" i="1"/>
  <c r="I10" i="1"/>
  <c r="I11" i="1"/>
  <c r="K11" i="1" s="1"/>
  <c r="I12" i="1"/>
  <c r="K12" i="1" s="1"/>
  <c r="I13" i="1"/>
  <c r="K13" i="1" s="1"/>
  <c r="I14" i="1"/>
  <c r="K14" i="1" s="1"/>
  <c r="I7" i="1"/>
  <c r="K8" i="1"/>
  <c r="K9" i="1"/>
  <c r="K10" i="1"/>
  <c r="K7" i="1"/>
  <c r="J3" i="1"/>
  <c r="J4" i="1"/>
  <c r="J5" i="1"/>
  <c r="J6" i="1"/>
  <c r="J7" i="1"/>
  <c r="J8" i="1"/>
  <c r="J9" i="1"/>
  <c r="J10" i="1"/>
  <c r="J11" i="1"/>
  <c r="J12" i="1"/>
  <c r="J13" i="1"/>
  <c r="J14" i="1"/>
  <c r="J2" i="1"/>
  <c r="D16" i="2" l="1"/>
  <c r="D16" i="40"/>
  <c r="E16" i="40"/>
  <c r="D16" i="38"/>
  <c r="E16" i="38"/>
  <c r="D16" i="37"/>
  <c r="E16" i="36"/>
  <c r="D16" i="35"/>
  <c r="E16" i="35"/>
  <c r="D16" i="34"/>
  <c r="D16" i="33"/>
  <c r="E16" i="31"/>
  <c r="D16" i="31"/>
  <c r="D16" i="28"/>
  <c r="E16" i="28"/>
  <c r="D16" i="26"/>
  <c r="D16" i="25"/>
  <c r="D16" i="24"/>
  <c r="E16" i="22"/>
  <c r="D16" i="22"/>
  <c r="D16" i="21"/>
  <c r="D16" i="20"/>
  <c r="E16" i="19"/>
  <c r="E16" i="18"/>
  <c r="E16" i="17"/>
  <c r="E16" i="14"/>
  <c r="E16" i="12"/>
  <c r="D16" i="11"/>
  <c r="D16" i="10"/>
  <c r="D16" i="8"/>
  <c r="D16" i="6"/>
  <c r="E16" i="5"/>
  <c r="E16" i="3"/>
  <c r="E16" i="2"/>
  <c r="K16" i="1"/>
  <c r="J16" i="1"/>
</calcChain>
</file>

<file path=xl/sharedStrings.xml><?xml version="1.0" encoding="utf-8"?>
<sst xmlns="http://schemas.openxmlformats.org/spreadsheetml/2006/main" count="737" uniqueCount="57">
  <si>
    <t>Method Blank 1</t>
  </si>
  <si>
    <t>Method Blank 2</t>
  </si>
  <si>
    <t>Method Blank 3</t>
  </si>
  <si>
    <t>Method Blank 4</t>
  </si>
  <si>
    <t>Method Blank 5</t>
  </si>
  <si>
    <t>NIST SRM-1957 1</t>
  </si>
  <si>
    <t>NIST SRM-1957 2</t>
  </si>
  <si>
    <t>NIST SRM-1957 3</t>
  </si>
  <si>
    <t>NIST SRM-1957 6</t>
  </si>
  <si>
    <t>NIST SRM-1957 7</t>
  </si>
  <si>
    <t>NIST SRM-1957 8</t>
  </si>
  <si>
    <t>NIST SRM-1957 9</t>
  </si>
  <si>
    <t>NIST SRM-1957 10</t>
  </si>
  <si>
    <t>Detection Frequency (no subtraction)</t>
  </si>
  <si>
    <t>Detection Frequency (After Blank Subtraction (mean + 3 s.d.)</t>
  </si>
  <si>
    <t>Raw</t>
  </si>
  <si>
    <t>Post Blank Subtraction</t>
  </si>
  <si>
    <t>Notes: Appears at the top of the drift window with inconsistent positioning. Unable to determine if it is UPFOS or PFECHS</t>
  </si>
  <si>
    <t>idotp</t>
  </si>
  <si>
    <t>precursor - 348.9398[M-H]</t>
  </si>
  <si>
    <t>Replicate</t>
  </si>
  <si>
    <t>Peak Area</t>
  </si>
  <si>
    <t>StdErr</t>
  </si>
  <si>
    <t>Expected</t>
  </si>
  <si>
    <t>NaN</t>
  </si>
  <si>
    <t>Notes</t>
  </si>
  <si>
    <t>heavy</t>
  </si>
  <si>
    <t>branched</t>
  </si>
  <si>
    <t>linear</t>
  </si>
  <si>
    <t>heavy, smaller peak</t>
  </si>
  <si>
    <t>PFBS</t>
  </si>
  <si>
    <t>PFPeS</t>
  </si>
  <si>
    <t>PFHxS</t>
  </si>
  <si>
    <t>PFECHS</t>
  </si>
  <si>
    <t>PFHpS</t>
  </si>
  <si>
    <t>PFOS</t>
  </si>
  <si>
    <t>PFDS</t>
  </si>
  <si>
    <t>PFHxA</t>
  </si>
  <si>
    <t>PFHpA</t>
  </si>
  <si>
    <t>PFOA</t>
  </si>
  <si>
    <t xml:space="preserve">PFNA </t>
  </si>
  <si>
    <t>PFNA</t>
  </si>
  <si>
    <t>PFDA</t>
  </si>
  <si>
    <t>PFUdA</t>
  </si>
  <si>
    <t>PFDoA</t>
  </si>
  <si>
    <t>PFTeDA</t>
  </si>
  <si>
    <t>4:2 FTS</t>
  </si>
  <si>
    <t>6:2 FTS</t>
  </si>
  <si>
    <t>8:2 FTS</t>
  </si>
  <si>
    <t>FOSA</t>
  </si>
  <si>
    <t>N-MeFOSAA</t>
  </si>
  <si>
    <t>N-EtFOSAA</t>
  </si>
  <si>
    <t>N-MeFOSA</t>
  </si>
  <si>
    <t>N-EtFOSA</t>
  </si>
  <si>
    <t>HFPO-DA</t>
  </si>
  <si>
    <t>Name</t>
  </si>
  <si>
    <t>Skyline average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</si>
</sst>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5A1B-F8E7-48F6-9BA6-ACEC0EB67378}">
  <dimension ref="A1:E38"/>
  <sheetViews>
    <sheetView tabSelected="1" workbookViewId="0">
      <selection activeCell="H14" sqref="H14"/>
    </sheetView>
  </sheetViews>
  <sheetFormatPr defaultRowHeight="15" x14ac:dyDescent="0.25"/>
  <cols>
    <col min="1" max="1" width="11.42578125" bestFit="1" customWidth="1"/>
    <col min="2" max="2" width="18.7109375" bestFit="1" customWidth="1"/>
    <col min="3" max="3" width="34.28515625" bestFit="1" customWidth="1"/>
    <col min="4" max="4" width="54.85546875" bestFit="1" customWidth="1"/>
    <col min="5" max="5" width="22.7109375" bestFit="1" customWidth="1"/>
  </cols>
  <sheetData>
    <row r="1" spans="1:5" x14ac:dyDescent="0.25">
      <c r="A1" t="s">
        <v>55</v>
      </c>
      <c r="B1" t="s">
        <v>25</v>
      </c>
      <c r="C1" t="s">
        <v>13</v>
      </c>
      <c r="D1" t="s">
        <v>14</v>
      </c>
      <c r="E1" t="s">
        <v>56</v>
      </c>
    </row>
    <row r="2" spans="1:5" x14ac:dyDescent="0.25">
      <c r="A2" t="s">
        <v>30</v>
      </c>
      <c r="B2" s="1" t="s">
        <v>26</v>
      </c>
      <c r="C2">
        <v>100</v>
      </c>
      <c r="D2">
        <v>0</v>
      </c>
      <c r="E2">
        <v>1529309.5961538462</v>
      </c>
    </row>
    <row r="3" spans="1:5" x14ac:dyDescent="0.25">
      <c r="A3" t="s">
        <v>31</v>
      </c>
      <c r="C3">
        <v>46.153846153846153</v>
      </c>
      <c r="D3">
        <v>75</v>
      </c>
      <c r="E3">
        <v>812.99585430438697</v>
      </c>
    </row>
    <row r="4" spans="1:5" x14ac:dyDescent="0.25">
      <c r="A4" t="s">
        <v>32</v>
      </c>
      <c r="B4" s="1" t="s">
        <v>27</v>
      </c>
      <c r="C4">
        <v>61.53846153846154</v>
      </c>
      <c r="D4">
        <v>100</v>
      </c>
      <c r="E4">
        <v>7025.7919170673076</v>
      </c>
    </row>
    <row r="5" spans="1:5" x14ac:dyDescent="0.25">
      <c r="A5" t="s">
        <v>32</v>
      </c>
      <c r="B5" s="1" t="s">
        <v>28</v>
      </c>
      <c r="C5">
        <v>61.53846153846154</v>
      </c>
      <c r="D5">
        <v>100</v>
      </c>
      <c r="E5">
        <v>595234.8125</v>
      </c>
    </row>
    <row r="6" spans="1:5" x14ac:dyDescent="0.25">
      <c r="A6" t="s">
        <v>32</v>
      </c>
      <c r="B6" s="1" t="s">
        <v>26</v>
      </c>
      <c r="C6">
        <v>100</v>
      </c>
      <c r="D6">
        <v>0</v>
      </c>
      <c r="E6">
        <v>68730.022235576922</v>
      </c>
    </row>
    <row r="7" spans="1:5" x14ac:dyDescent="0.25">
      <c r="A7" t="s">
        <v>32</v>
      </c>
      <c r="B7" s="1" t="s">
        <v>26</v>
      </c>
      <c r="C7">
        <v>100</v>
      </c>
      <c r="D7">
        <v>0</v>
      </c>
      <c r="E7">
        <v>2446575.451923077</v>
      </c>
    </row>
    <row r="8" spans="1:5" x14ac:dyDescent="0.25">
      <c r="A8" t="s">
        <v>33</v>
      </c>
      <c r="B8" s="1"/>
      <c r="C8">
        <v>53.846153846153847</v>
      </c>
      <c r="D8">
        <v>87.5</v>
      </c>
      <c r="E8">
        <v>3572.077204777645</v>
      </c>
    </row>
    <row r="9" spans="1:5" x14ac:dyDescent="0.25">
      <c r="A9" t="s">
        <v>34</v>
      </c>
      <c r="B9" s="1" t="s">
        <v>28</v>
      </c>
      <c r="C9">
        <v>61.53846153846154</v>
      </c>
      <c r="D9">
        <v>100</v>
      </c>
      <c r="E9">
        <v>47056.896033653844</v>
      </c>
    </row>
    <row r="10" spans="1:5" x14ac:dyDescent="0.25">
      <c r="A10" t="s">
        <v>34</v>
      </c>
      <c r="B10" s="1" t="s">
        <v>27</v>
      </c>
      <c r="C10">
        <v>30.76923076923077</v>
      </c>
      <c r="D10">
        <v>50</v>
      </c>
      <c r="E10">
        <v>1592.8783240685102</v>
      </c>
    </row>
    <row r="11" spans="1:5" x14ac:dyDescent="0.25">
      <c r="A11" t="s">
        <v>35</v>
      </c>
      <c r="B11" s="1" t="s">
        <v>28</v>
      </c>
      <c r="C11">
        <v>76.923076923076934</v>
      </c>
      <c r="D11">
        <v>100</v>
      </c>
      <c r="E11">
        <v>1659735.9840646891</v>
      </c>
    </row>
    <row r="12" spans="1:5" x14ac:dyDescent="0.25">
      <c r="A12" t="s">
        <v>35</v>
      </c>
      <c r="B12" s="1" t="s">
        <v>27</v>
      </c>
      <c r="C12">
        <v>61.53846153846154</v>
      </c>
      <c r="D12">
        <v>100</v>
      </c>
      <c r="E12">
        <v>1129186.9615384615</v>
      </c>
    </row>
    <row r="13" spans="1:5" x14ac:dyDescent="0.25">
      <c r="A13" t="s">
        <v>35</v>
      </c>
      <c r="B13" s="1" t="s">
        <v>26</v>
      </c>
      <c r="C13">
        <v>100</v>
      </c>
      <c r="D13">
        <v>0</v>
      </c>
      <c r="E13">
        <v>2099178.355769231</v>
      </c>
    </row>
    <row r="14" spans="1:5" x14ac:dyDescent="0.25">
      <c r="A14" t="s">
        <v>36</v>
      </c>
      <c r="C14">
        <v>23.076923076923077</v>
      </c>
      <c r="D14">
        <v>37.5</v>
      </c>
      <c r="E14">
        <v>949.35640775240381</v>
      </c>
    </row>
    <row r="15" spans="1:5" x14ac:dyDescent="0.25">
      <c r="A15" t="s">
        <v>37</v>
      </c>
      <c r="B15" s="1" t="s">
        <v>26</v>
      </c>
      <c r="C15">
        <v>100</v>
      </c>
      <c r="D15">
        <v>62.5</v>
      </c>
      <c r="E15">
        <v>82487.594951923078</v>
      </c>
    </row>
    <row r="16" spans="1:5" x14ac:dyDescent="0.25">
      <c r="A16" t="s">
        <v>38</v>
      </c>
      <c r="C16">
        <v>53.846153846153847</v>
      </c>
      <c r="D16">
        <v>87.5</v>
      </c>
      <c r="E16">
        <v>3037.6404747596152</v>
      </c>
    </row>
    <row r="17" spans="1:5" x14ac:dyDescent="0.25">
      <c r="A17" t="s">
        <v>38</v>
      </c>
      <c r="B17" s="1" t="s">
        <v>26</v>
      </c>
      <c r="C17">
        <v>100</v>
      </c>
      <c r="D17">
        <v>37.5</v>
      </c>
      <c r="E17">
        <v>376820.66105769231</v>
      </c>
    </row>
    <row r="18" spans="1:5" x14ac:dyDescent="0.25">
      <c r="A18" t="s">
        <v>39</v>
      </c>
      <c r="B18" s="1" t="s">
        <v>27</v>
      </c>
      <c r="C18">
        <v>53.846153846153847</v>
      </c>
      <c r="D18">
        <v>87.5</v>
      </c>
      <c r="E18">
        <v>2563.6629920372602</v>
      </c>
    </row>
    <row r="19" spans="1:5" x14ac:dyDescent="0.25">
      <c r="A19" t="s">
        <v>39</v>
      </c>
      <c r="B19" s="1" t="s">
        <v>28</v>
      </c>
      <c r="C19">
        <v>100</v>
      </c>
      <c r="D19">
        <v>100</v>
      </c>
      <c r="E19">
        <v>193456.36618276744</v>
      </c>
    </row>
    <row r="20" spans="1:5" x14ac:dyDescent="0.25">
      <c r="A20" t="s">
        <v>39</v>
      </c>
      <c r="B20" s="1" t="s">
        <v>26</v>
      </c>
      <c r="C20">
        <v>100</v>
      </c>
      <c r="D20">
        <v>37.5</v>
      </c>
      <c r="E20">
        <v>679784.53365384613</v>
      </c>
    </row>
    <row r="21" spans="1:5" x14ac:dyDescent="0.25">
      <c r="A21" t="s">
        <v>40</v>
      </c>
      <c r="C21">
        <v>69.230769230769226</v>
      </c>
      <c r="D21">
        <v>100</v>
      </c>
      <c r="E21">
        <v>29166.224696232723</v>
      </c>
    </row>
    <row r="22" spans="1:5" x14ac:dyDescent="0.25">
      <c r="A22" t="s">
        <v>41</v>
      </c>
      <c r="B22" s="1" t="s">
        <v>26</v>
      </c>
      <c r="C22">
        <v>100</v>
      </c>
      <c r="D22">
        <v>0</v>
      </c>
      <c r="E22">
        <v>322662.32331730769</v>
      </c>
    </row>
    <row r="23" spans="1:5" x14ac:dyDescent="0.25">
      <c r="A23" t="s">
        <v>42</v>
      </c>
      <c r="C23">
        <v>38.461538461538467</v>
      </c>
      <c r="D23">
        <v>62.5</v>
      </c>
      <c r="E23">
        <v>2809.4590594951924</v>
      </c>
    </row>
    <row r="24" spans="1:5" x14ac:dyDescent="0.25">
      <c r="A24" t="s">
        <v>42</v>
      </c>
      <c r="B24" s="1" t="s">
        <v>26</v>
      </c>
      <c r="C24">
        <v>92.307692307692307</v>
      </c>
      <c r="D24">
        <v>0</v>
      </c>
      <c r="E24">
        <v>225773.68629807694</v>
      </c>
    </row>
    <row r="25" spans="1:5" x14ac:dyDescent="0.25">
      <c r="A25" t="s">
        <v>43</v>
      </c>
      <c r="B25" s="1" t="s">
        <v>26</v>
      </c>
      <c r="C25">
        <v>100</v>
      </c>
      <c r="D25">
        <v>87.5</v>
      </c>
      <c r="E25">
        <v>150811.41887019231</v>
      </c>
    </row>
    <row r="26" spans="1:5" x14ac:dyDescent="0.25">
      <c r="A26" t="s">
        <v>44</v>
      </c>
      <c r="B26" s="1" t="s">
        <v>26</v>
      </c>
      <c r="C26">
        <v>100</v>
      </c>
      <c r="D26">
        <v>100</v>
      </c>
      <c r="E26">
        <v>83036.461219200719</v>
      </c>
    </row>
    <row r="27" spans="1:5" x14ac:dyDescent="0.25">
      <c r="A27" t="s">
        <v>45</v>
      </c>
      <c r="B27" s="1" t="s">
        <v>26</v>
      </c>
      <c r="C27">
        <v>61.53846153846154</v>
      </c>
      <c r="D27">
        <v>100</v>
      </c>
      <c r="E27">
        <v>56380.275240384617</v>
      </c>
    </row>
    <row r="28" spans="1:5" x14ac:dyDescent="0.25">
      <c r="A28" t="s">
        <v>46</v>
      </c>
      <c r="B28" s="1" t="s">
        <v>26</v>
      </c>
      <c r="C28">
        <v>100</v>
      </c>
      <c r="D28">
        <v>62.5</v>
      </c>
      <c r="E28">
        <v>334305.99278846156</v>
      </c>
    </row>
    <row r="29" spans="1:5" x14ac:dyDescent="0.25">
      <c r="A29" t="s">
        <v>47</v>
      </c>
      <c r="B29" s="1" t="s">
        <v>26</v>
      </c>
      <c r="C29">
        <v>100</v>
      </c>
      <c r="D29">
        <v>0</v>
      </c>
      <c r="E29">
        <v>401397.44951923075</v>
      </c>
    </row>
    <row r="30" spans="1:5" x14ac:dyDescent="0.25">
      <c r="A30" t="s">
        <v>48</v>
      </c>
      <c r="B30" s="1" t="s">
        <v>26</v>
      </c>
      <c r="C30">
        <v>100</v>
      </c>
      <c r="D30">
        <v>0</v>
      </c>
      <c r="E30">
        <v>378996.14423076925</v>
      </c>
    </row>
    <row r="31" spans="1:5" x14ac:dyDescent="0.25">
      <c r="A31" t="s">
        <v>49</v>
      </c>
      <c r="B31" s="1" t="s">
        <v>26</v>
      </c>
      <c r="C31">
        <v>61.53846153846154</v>
      </c>
      <c r="D31">
        <v>100</v>
      </c>
      <c r="E31">
        <v>329612.18509615387</v>
      </c>
    </row>
    <row r="32" spans="1:5" x14ac:dyDescent="0.25">
      <c r="A32" t="s">
        <v>50</v>
      </c>
      <c r="B32" s="1" t="s">
        <v>26</v>
      </c>
      <c r="C32">
        <v>100</v>
      </c>
      <c r="D32">
        <v>0</v>
      </c>
      <c r="E32">
        <v>168178.23497596153</v>
      </c>
    </row>
    <row r="33" spans="1:5" x14ac:dyDescent="0.25">
      <c r="A33" t="s">
        <v>51</v>
      </c>
      <c r="B33" s="1" t="s">
        <v>26</v>
      </c>
      <c r="C33">
        <v>100</v>
      </c>
      <c r="D33">
        <v>0</v>
      </c>
      <c r="E33">
        <v>122014.38551682692</v>
      </c>
    </row>
    <row r="34" spans="1:5" x14ac:dyDescent="0.25">
      <c r="A34" t="s">
        <v>52</v>
      </c>
      <c r="B34" s="1" t="s">
        <v>26</v>
      </c>
      <c r="C34">
        <v>61.538461538500002</v>
      </c>
      <c r="D34">
        <v>100</v>
      </c>
      <c r="E34">
        <v>100535.16286057692</v>
      </c>
    </row>
    <row r="35" spans="1:5" x14ac:dyDescent="0.25">
      <c r="A35" t="s">
        <v>52</v>
      </c>
      <c r="B35" s="1" t="s">
        <v>29</v>
      </c>
      <c r="C35">
        <v>61.538461538500002</v>
      </c>
      <c r="D35">
        <v>25</v>
      </c>
      <c r="E35">
        <v>3821.6311035156255</v>
      </c>
    </row>
    <row r="36" spans="1:5" x14ac:dyDescent="0.25">
      <c r="A36" t="s">
        <v>53</v>
      </c>
      <c r="B36" s="1" t="s">
        <v>26</v>
      </c>
      <c r="C36">
        <v>61.538461538500002</v>
      </c>
      <c r="D36">
        <v>100</v>
      </c>
      <c r="E36">
        <v>64792.799278846156</v>
      </c>
    </row>
    <row r="37" spans="1:5" x14ac:dyDescent="0.25">
      <c r="A37" t="s">
        <v>53</v>
      </c>
      <c r="B37" s="1" t="s">
        <v>29</v>
      </c>
      <c r="C37">
        <v>69.230769230769226</v>
      </c>
      <c r="D37">
        <v>100</v>
      </c>
      <c r="E37">
        <v>7437.6379582331729</v>
      </c>
    </row>
    <row r="38" spans="1:5" x14ac:dyDescent="0.25">
      <c r="A38" t="s">
        <v>54</v>
      </c>
      <c r="B38" s="1" t="s">
        <v>26</v>
      </c>
      <c r="C38">
        <v>46.153846153846153</v>
      </c>
      <c r="D38">
        <v>75</v>
      </c>
      <c r="E38">
        <v>1827.4127385066115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BD9A9-81EB-4FCF-9AE1-F11107D115C5}">
  <dimension ref="G1:K17"/>
  <sheetViews>
    <sheetView topLeftCell="G1" workbookViewId="0">
      <selection activeCell="H17" sqref="H17"/>
    </sheetView>
  </sheetViews>
  <sheetFormatPr defaultRowHeight="15" x14ac:dyDescent="0.25"/>
  <cols>
    <col min="7" max="7" width="16.42578125" bestFit="1" customWidth="1"/>
    <col min="9" max="9" width="21.140625" bestFit="1" customWidth="1"/>
    <col min="10" max="10" width="34.28515625" bestFit="1" customWidth="1"/>
    <col min="11" max="11" width="54.85546875" bestFit="1" customWidth="1"/>
  </cols>
  <sheetData>
    <row r="1" spans="7:11" x14ac:dyDescent="0.25">
      <c r="H1" t="s">
        <v>15</v>
      </c>
      <c r="I1" t="s">
        <v>16</v>
      </c>
      <c r="J1" t="s">
        <v>13</v>
      </c>
      <c r="K1" t="s">
        <v>14</v>
      </c>
    </row>
    <row r="2" spans="7:11" x14ac:dyDescent="0.25">
      <c r="G2" t="s">
        <v>0</v>
      </c>
      <c r="H2">
        <v>1470065.25</v>
      </c>
      <c r="J2">
        <f>IF(H2&gt;0, 1, 0)</f>
        <v>1</v>
      </c>
    </row>
    <row r="3" spans="7:11" x14ac:dyDescent="0.25">
      <c r="G3" t="s">
        <v>1</v>
      </c>
      <c r="H3">
        <v>1517533.125</v>
      </c>
      <c r="J3">
        <f t="shared" ref="J3:J14" si="0">IF(H3&gt;0, 1, 0)</f>
        <v>1</v>
      </c>
    </row>
    <row r="4" spans="7:11" x14ac:dyDescent="0.25">
      <c r="G4" t="s">
        <v>2</v>
      </c>
      <c r="H4">
        <v>1586960.25</v>
      </c>
      <c r="J4">
        <f t="shared" si="0"/>
        <v>1</v>
      </c>
    </row>
    <row r="5" spans="7:11" x14ac:dyDescent="0.25">
      <c r="G5" t="s">
        <v>3</v>
      </c>
      <c r="H5">
        <v>1662503.625</v>
      </c>
      <c r="J5">
        <f t="shared" si="0"/>
        <v>1</v>
      </c>
    </row>
    <row r="6" spans="7:11" x14ac:dyDescent="0.25">
      <c r="G6" t="s">
        <v>4</v>
      </c>
      <c r="H6">
        <v>1515109.375</v>
      </c>
      <c r="J6">
        <f t="shared" si="0"/>
        <v>1</v>
      </c>
    </row>
    <row r="7" spans="7:11" x14ac:dyDescent="0.25">
      <c r="G7" t="s">
        <v>5</v>
      </c>
      <c r="H7">
        <v>1255965.25</v>
      </c>
      <c r="I7">
        <f>H7-(AVERAGE(H$2:H$6)+3*STDEV(H$2:H$6))</f>
        <v>-520383.22032352979</v>
      </c>
      <c r="J7">
        <f t="shared" si="0"/>
        <v>1</v>
      </c>
      <c r="K7">
        <f>IF(I7&gt;0, 1, 0)</f>
        <v>0</v>
      </c>
    </row>
    <row r="8" spans="7:11" x14ac:dyDescent="0.25">
      <c r="G8" t="s">
        <v>6</v>
      </c>
      <c r="H8">
        <v>1309535.625</v>
      </c>
      <c r="I8">
        <f t="shared" ref="I8:I14" si="1">H8-(AVERAGE(H$2:H$6)+3*STDEV(H$2:H$6))</f>
        <v>-466812.84532352979</v>
      </c>
      <c r="J8">
        <f t="shared" si="0"/>
        <v>1</v>
      </c>
      <c r="K8">
        <f t="shared" ref="K8:K14" si="2">IF(I8&gt;0, 1, 0)</f>
        <v>0</v>
      </c>
    </row>
    <row r="9" spans="7:11" x14ac:dyDescent="0.25">
      <c r="G9" t="s">
        <v>7</v>
      </c>
      <c r="H9">
        <v>1343459.75</v>
      </c>
      <c r="I9">
        <f t="shared" si="1"/>
        <v>-432888.72032352979</v>
      </c>
      <c r="J9">
        <f t="shared" si="0"/>
        <v>1</v>
      </c>
      <c r="K9">
        <f t="shared" si="2"/>
        <v>0</v>
      </c>
    </row>
    <row r="10" spans="7:11" x14ac:dyDescent="0.25">
      <c r="G10" t="s">
        <v>8</v>
      </c>
      <c r="H10">
        <v>1682593.375</v>
      </c>
      <c r="I10">
        <f t="shared" si="1"/>
        <v>-93755.095323529793</v>
      </c>
      <c r="J10">
        <f t="shared" si="0"/>
        <v>1</v>
      </c>
      <c r="K10">
        <f t="shared" si="2"/>
        <v>0</v>
      </c>
    </row>
    <row r="11" spans="7:11" x14ac:dyDescent="0.25">
      <c r="G11" t="s">
        <v>9</v>
      </c>
      <c r="H11">
        <v>1670992.375</v>
      </c>
      <c r="I11">
        <f t="shared" si="1"/>
        <v>-105356.09532352979</v>
      </c>
      <c r="J11">
        <f t="shared" si="0"/>
        <v>1</v>
      </c>
      <c r="K11">
        <f t="shared" si="2"/>
        <v>0</v>
      </c>
    </row>
    <row r="12" spans="7:11" x14ac:dyDescent="0.25">
      <c r="G12" t="s">
        <v>10</v>
      </c>
      <c r="H12">
        <v>1715704.75</v>
      </c>
      <c r="I12">
        <f t="shared" si="1"/>
        <v>-60643.720323529793</v>
      </c>
      <c r="J12">
        <f t="shared" si="0"/>
        <v>1</v>
      </c>
      <c r="K12">
        <f t="shared" si="2"/>
        <v>0</v>
      </c>
    </row>
    <row r="13" spans="7:11" x14ac:dyDescent="0.25">
      <c r="G13" t="s">
        <v>11</v>
      </c>
      <c r="H13">
        <v>1551295.125</v>
      </c>
      <c r="I13">
        <f t="shared" si="1"/>
        <v>-225053.34532352979</v>
      </c>
      <c r="J13">
        <f t="shared" si="0"/>
        <v>1</v>
      </c>
      <c r="K13">
        <f t="shared" si="2"/>
        <v>0</v>
      </c>
    </row>
    <row r="14" spans="7:11" x14ac:dyDescent="0.25">
      <c r="G14" t="s">
        <v>12</v>
      </c>
      <c r="H14">
        <v>1599306.875</v>
      </c>
      <c r="I14">
        <f t="shared" si="1"/>
        <v>-177041.59532352979</v>
      </c>
      <c r="J14">
        <f t="shared" si="0"/>
        <v>1</v>
      </c>
      <c r="K14">
        <f t="shared" si="2"/>
        <v>0</v>
      </c>
    </row>
    <row r="16" spans="7:11" x14ac:dyDescent="0.25">
      <c r="J16">
        <f>SUM(J2:J14)/13 * 100</f>
        <v>100</v>
      </c>
      <c r="K16">
        <f>SUM(K7:K14)/8 * 100</f>
        <v>0</v>
      </c>
    </row>
    <row r="17" spans="8:8" x14ac:dyDescent="0.25">
      <c r="H17">
        <f>AVERAGE(H2:H14)</f>
        <v>1529309.5961538462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0E3F-3149-4A09-BBA8-C13108F7F6F1}">
  <dimension ref="A1:K17"/>
  <sheetViews>
    <sheetView workbookViewId="0">
      <selection activeCell="B17" sqref="B17"/>
    </sheetView>
  </sheetViews>
  <sheetFormatPr defaultRowHeight="15" x14ac:dyDescent="0.25"/>
  <cols>
    <col min="1" max="1" width="16.42578125" bestFit="1" customWidth="1"/>
    <col min="3" max="3" width="21.140625" bestFit="1" customWidth="1"/>
    <col min="4" max="4" width="34.28515625" bestFit="1" customWidth="1"/>
    <col min="5" max="5" width="54.85546875" bestFit="1" customWidth="1"/>
  </cols>
  <sheetData>
    <row r="1" spans="1:11" x14ac:dyDescent="0.25">
      <c r="B1" t="s">
        <v>15</v>
      </c>
      <c r="C1" t="s">
        <v>16</v>
      </c>
      <c r="D1" t="s">
        <v>13</v>
      </c>
      <c r="E1" t="s">
        <v>14</v>
      </c>
      <c r="I1" t="s">
        <v>18</v>
      </c>
      <c r="J1" t="s">
        <v>19</v>
      </c>
    </row>
    <row r="2" spans="1:11" x14ac:dyDescent="0.25">
      <c r="A2" t="s">
        <v>0</v>
      </c>
      <c r="B2">
        <v>0</v>
      </c>
      <c r="D2">
        <f>IF(B2&gt;0, 1, 0)</f>
        <v>0</v>
      </c>
      <c r="H2" t="s">
        <v>20</v>
      </c>
      <c r="I2" t="s">
        <v>18</v>
      </c>
      <c r="J2" t="s">
        <v>21</v>
      </c>
      <c r="K2" t="s">
        <v>22</v>
      </c>
    </row>
    <row r="3" spans="1:11" x14ac:dyDescent="0.25">
      <c r="A3" t="s">
        <v>1</v>
      </c>
      <c r="B3">
        <v>0</v>
      </c>
      <c r="D3">
        <f t="shared" ref="D3:E14" si="0">IF(B3&gt;0, 1, 0)</f>
        <v>0</v>
      </c>
      <c r="H3" t="s">
        <v>23</v>
      </c>
      <c r="I3" t="s">
        <v>24</v>
      </c>
      <c r="J3">
        <v>2615.32299804688</v>
      </c>
    </row>
    <row r="4" spans="1:11" x14ac:dyDescent="0.25">
      <c r="A4" t="s">
        <v>2</v>
      </c>
      <c r="B4">
        <v>0</v>
      </c>
      <c r="D4">
        <f t="shared" si="0"/>
        <v>0</v>
      </c>
      <c r="H4" t="s">
        <v>0</v>
      </c>
      <c r="I4" t="s">
        <v>24</v>
      </c>
      <c r="J4">
        <v>0</v>
      </c>
      <c r="K4">
        <v>0</v>
      </c>
    </row>
    <row r="5" spans="1:11" x14ac:dyDescent="0.25">
      <c r="A5" t="s">
        <v>3</v>
      </c>
      <c r="B5">
        <v>0</v>
      </c>
      <c r="D5">
        <f t="shared" si="0"/>
        <v>0</v>
      </c>
      <c r="H5" t="s">
        <v>1</v>
      </c>
      <c r="I5" t="s">
        <v>24</v>
      </c>
      <c r="J5">
        <v>0</v>
      </c>
      <c r="K5">
        <v>0</v>
      </c>
    </row>
    <row r="6" spans="1:11" x14ac:dyDescent="0.25">
      <c r="A6" t="s">
        <v>4</v>
      </c>
      <c r="B6">
        <v>0</v>
      </c>
      <c r="D6">
        <f t="shared" si="0"/>
        <v>0</v>
      </c>
      <c r="H6" t="s">
        <v>2</v>
      </c>
      <c r="I6" t="s">
        <v>24</v>
      </c>
      <c r="J6">
        <v>0</v>
      </c>
      <c r="K6">
        <v>0</v>
      </c>
    </row>
    <row r="7" spans="1:11" x14ac:dyDescent="0.25">
      <c r="A7" t="s">
        <v>5</v>
      </c>
      <c r="B7">
        <v>1152.19580078125</v>
      </c>
      <c r="C7">
        <f>B7-(AVERAGE(B$2:B$6)+3*STDEV(B$2:B$6))</f>
        <v>1152.19580078125</v>
      </c>
      <c r="D7">
        <f t="shared" si="0"/>
        <v>1</v>
      </c>
      <c r="E7">
        <f>IF(C7&gt;0, 1, 0)</f>
        <v>1</v>
      </c>
      <c r="H7" t="s">
        <v>3</v>
      </c>
      <c r="I7" t="s">
        <v>24</v>
      </c>
      <c r="J7">
        <v>0</v>
      </c>
      <c r="K7">
        <v>0</v>
      </c>
    </row>
    <row r="8" spans="1:11" x14ac:dyDescent="0.25">
      <c r="A8" t="s">
        <v>6</v>
      </c>
      <c r="B8">
        <v>1756.09729003906</v>
      </c>
      <c r="C8">
        <f t="shared" ref="C8:C14" si="1">B8-(AVERAGE(B$2:B$6)+3*STDEV(B$2:B$6))</f>
        <v>1756.09729003906</v>
      </c>
      <c r="D8">
        <f t="shared" si="0"/>
        <v>1</v>
      </c>
      <c r="E8">
        <f t="shared" si="0"/>
        <v>1</v>
      </c>
      <c r="H8" t="s">
        <v>4</v>
      </c>
      <c r="I8" t="s">
        <v>24</v>
      </c>
      <c r="J8">
        <v>0</v>
      </c>
      <c r="K8">
        <v>0</v>
      </c>
    </row>
    <row r="9" spans="1:11" x14ac:dyDescent="0.25">
      <c r="A9" t="s">
        <v>7</v>
      </c>
      <c r="B9">
        <v>1893.07824707031</v>
      </c>
      <c r="C9">
        <f t="shared" si="1"/>
        <v>1893.07824707031</v>
      </c>
      <c r="D9">
        <f t="shared" si="0"/>
        <v>1</v>
      </c>
      <c r="E9">
        <f t="shared" si="0"/>
        <v>1</v>
      </c>
      <c r="H9" t="s">
        <v>5</v>
      </c>
      <c r="I9" t="s">
        <v>24</v>
      </c>
      <c r="J9">
        <v>1152.19580078125</v>
      </c>
      <c r="K9">
        <v>0</v>
      </c>
    </row>
    <row r="10" spans="1:11" x14ac:dyDescent="0.25">
      <c r="A10" t="s">
        <v>8</v>
      </c>
      <c r="B10">
        <v>636.17120361328102</v>
      </c>
      <c r="C10">
        <f t="shared" si="1"/>
        <v>636.17120361328102</v>
      </c>
      <c r="D10">
        <f t="shared" si="0"/>
        <v>1</v>
      </c>
      <c r="E10">
        <f t="shared" si="0"/>
        <v>1</v>
      </c>
      <c r="H10" t="s">
        <v>6</v>
      </c>
      <c r="I10" t="s">
        <v>24</v>
      </c>
      <c r="J10">
        <v>1756.09729003906</v>
      </c>
      <c r="K10">
        <v>0</v>
      </c>
    </row>
    <row r="11" spans="1:11" x14ac:dyDescent="0.25">
      <c r="A11" t="s">
        <v>9</v>
      </c>
      <c r="B11">
        <v>2516.08056640625</v>
      </c>
      <c r="C11">
        <f t="shared" si="1"/>
        <v>2516.08056640625</v>
      </c>
      <c r="D11">
        <f t="shared" si="0"/>
        <v>1</v>
      </c>
      <c r="E11">
        <f t="shared" si="0"/>
        <v>1</v>
      </c>
      <c r="H11" t="s">
        <v>7</v>
      </c>
      <c r="I11" t="s">
        <v>24</v>
      </c>
      <c r="J11">
        <v>1893.07824707031</v>
      </c>
      <c r="K11">
        <v>0</v>
      </c>
    </row>
    <row r="12" spans="1:11" x14ac:dyDescent="0.25">
      <c r="A12" t="s">
        <v>10</v>
      </c>
      <c r="B12">
        <v>2615.32299804688</v>
      </c>
      <c r="C12">
        <f t="shared" si="1"/>
        <v>2615.32299804688</v>
      </c>
      <c r="D12">
        <f t="shared" si="0"/>
        <v>1</v>
      </c>
      <c r="E12">
        <f t="shared" si="0"/>
        <v>1</v>
      </c>
      <c r="H12" t="s">
        <v>8</v>
      </c>
      <c r="I12" t="s">
        <v>24</v>
      </c>
      <c r="J12">
        <v>636.17120361328102</v>
      </c>
      <c r="K12">
        <v>0</v>
      </c>
    </row>
    <row r="13" spans="1:11" x14ac:dyDescent="0.25">
      <c r="A13" t="s">
        <v>11</v>
      </c>
      <c r="B13">
        <v>0</v>
      </c>
      <c r="C13">
        <f t="shared" si="1"/>
        <v>0</v>
      </c>
      <c r="D13">
        <f t="shared" si="0"/>
        <v>0</v>
      </c>
      <c r="E13">
        <f t="shared" si="0"/>
        <v>0</v>
      </c>
      <c r="H13" t="s">
        <v>9</v>
      </c>
      <c r="I13" t="s">
        <v>24</v>
      </c>
      <c r="J13">
        <v>2516.08056640625</v>
      </c>
      <c r="K13">
        <v>0</v>
      </c>
    </row>
    <row r="14" spans="1:11" x14ac:dyDescent="0.25">
      <c r="A14" t="s">
        <v>12</v>
      </c>
      <c r="B14">
        <v>0</v>
      </c>
      <c r="C14">
        <f t="shared" si="1"/>
        <v>0</v>
      </c>
      <c r="D14">
        <f t="shared" si="0"/>
        <v>0</v>
      </c>
      <c r="E14">
        <f t="shared" si="0"/>
        <v>0</v>
      </c>
      <c r="H14" t="s">
        <v>10</v>
      </c>
      <c r="I14" t="s">
        <v>24</v>
      </c>
      <c r="J14">
        <v>2615.32299804688</v>
      </c>
      <c r="K14">
        <v>0</v>
      </c>
    </row>
    <row r="15" spans="1:11" x14ac:dyDescent="0.25">
      <c r="H15" t="s">
        <v>11</v>
      </c>
      <c r="I15" t="s">
        <v>24</v>
      </c>
      <c r="J15">
        <v>0</v>
      </c>
      <c r="K15">
        <v>0</v>
      </c>
    </row>
    <row r="16" spans="1:11" x14ac:dyDescent="0.25">
      <c r="D16">
        <f>SUM(D2:D14)/13 * 100</f>
        <v>46.153846153846153</v>
      </c>
      <c r="E16">
        <f>SUM(E7:E14)/8 * 100</f>
        <v>75</v>
      </c>
      <c r="H16" t="s">
        <v>12</v>
      </c>
      <c r="I16" t="s">
        <v>24</v>
      </c>
      <c r="J16">
        <v>0</v>
      </c>
      <c r="K16">
        <v>0</v>
      </c>
    </row>
    <row r="17" spans="2:2" x14ac:dyDescent="0.25">
      <c r="B17">
        <f>AVERAGE(B2:B14)</f>
        <v>812.99585430438697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A233-0877-46CB-80DD-CCFBB9A1DEF6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8468.59765625</v>
      </c>
      <c r="C7">
        <f>B7-(AVERAGE(B$2:B$6)+3*STDEV(B$2:B$6))</f>
        <v>8468.59765625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8712.4228515625</v>
      </c>
      <c r="C8">
        <f t="shared" ref="C8:C14" si="1">B8-(AVERAGE(B$2:B$6)+3*STDEV(B$2:B$6))</f>
        <v>8712.4228515625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10519.6171875</v>
      </c>
      <c r="C9">
        <f t="shared" si="1"/>
        <v>10519.6171875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15654.50390625</v>
      </c>
      <c r="C10">
        <f t="shared" si="1"/>
        <v>15654.50390625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18058.73046875</v>
      </c>
      <c r="C11">
        <f t="shared" si="1"/>
        <v>18058.73046875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14438.3583984375</v>
      </c>
      <c r="C12">
        <f t="shared" si="1"/>
        <v>14438.3583984375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7341.77392578125</v>
      </c>
      <c r="C13">
        <f t="shared" si="1"/>
        <v>7341.77392578125</v>
      </c>
      <c r="D13">
        <f t="shared" si="0"/>
        <v>1</v>
      </c>
      <c r="E13">
        <f t="shared" si="0"/>
        <v>1</v>
      </c>
    </row>
    <row r="14" spans="1:5" x14ac:dyDescent="0.25">
      <c r="A14" t="s">
        <v>12</v>
      </c>
      <c r="B14">
        <v>8141.29052734375</v>
      </c>
      <c r="C14">
        <f t="shared" si="1"/>
        <v>8141.29052734375</v>
      </c>
      <c r="D14">
        <f t="shared" si="0"/>
        <v>1</v>
      </c>
      <c r="E14">
        <f t="shared" si="0"/>
        <v>1</v>
      </c>
    </row>
    <row r="16" spans="1:5" x14ac:dyDescent="0.25">
      <c r="D16">
        <f>SUM(D2:D14)/13 * 100</f>
        <v>61.53846153846154</v>
      </c>
      <c r="E16">
        <f>SUM(E7:E14)/8 * 100</f>
        <v>100</v>
      </c>
    </row>
    <row r="17" spans="2:2" x14ac:dyDescent="0.25">
      <c r="B17">
        <f>AVERAGE(B2:B14)</f>
        <v>7025.7919170673076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F8FCF-525D-4085-91E8-CF028F81EB85}">
  <dimension ref="A1:E17"/>
  <sheetViews>
    <sheetView workbookViewId="0">
      <selection activeCell="B17" sqref="B17"/>
    </sheetView>
  </sheetViews>
  <sheetFormatPr defaultRowHeight="15" x14ac:dyDescent="0.25"/>
  <cols>
    <col min="1" max="1" width="16.42578125" bestFit="1" customWidth="1"/>
  </cols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693416.375</v>
      </c>
      <c r="C7">
        <f>B7-(AVERAGE(B$2:B$6)+3*STDEV(B$2:B$6))</f>
        <v>693416.375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685852.375</v>
      </c>
      <c r="C8">
        <f t="shared" ref="C8:C14" si="1">B8-(AVERAGE(B$2:B$6)+3*STDEV(B$2:B$6))</f>
        <v>685852.375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660528.5</v>
      </c>
      <c r="C9">
        <f t="shared" si="1"/>
        <v>660528.5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1298222.5</v>
      </c>
      <c r="C10">
        <f t="shared" si="1"/>
        <v>1298222.5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1266488.25</v>
      </c>
      <c r="C11">
        <f t="shared" si="1"/>
        <v>1266488.25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1298617</v>
      </c>
      <c r="C12">
        <f t="shared" si="1"/>
        <v>1298617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908814.375</v>
      </c>
      <c r="C13">
        <f t="shared" si="1"/>
        <v>908814.375</v>
      </c>
      <c r="D13">
        <f t="shared" si="0"/>
        <v>1</v>
      </c>
      <c r="E13">
        <f t="shared" si="0"/>
        <v>1</v>
      </c>
    </row>
    <row r="14" spans="1:5" x14ac:dyDescent="0.25">
      <c r="A14" t="s">
        <v>12</v>
      </c>
      <c r="B14">
        <v>926113.1875</v>
      </c>
      <c r="C14">
        <f t="shared" si="1"/>
        <v>926113.1875</v>
      </c>
      <c r="D14">
        <f t="shared" si="0"/>
        <v>1</v>
      </c>
      <c r="E14">
        <f t="shared" si="0"/>
        <v>1</v>
      </c>
    </row>
    <row r="16" spans="1:5" x14ac:dyDescent="0.25">
      <c r="D16">
        <f>SUM(D2:D14)/13 * 100</f>
        <v>61.53846153846154</v>
      </c>
      <c r="E16">
        <f>SUM(E7:E14)/8 * 100</f>
        <v>100</v>
      </c>
    </row>
    <row r="17" spans="2:2" x14ac:dyDescent="0.25">
      <c r="B17">
        <f>AVERAGE(B2:B14)</f>
        <v>595234.8125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F0AE-28FB-4E17-ABF0-B26A56E33970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69599.640625</v>
      </c>
      <c r="D2">
        <f>IF(B2&gt;0, 1, 0)</f>
        <v>1</v>
      </c>
    </row>
    <row r="3" spans="1:5" x14ac:dyDescent="0.25">
      <c r="A3" t="s">
        <v>1</v>
      </c>
      <c r="B3">
        <v>65527.6015625</v>
      </c>
      <c r="D3">
        <f t="shared" ref="D3:E14" si="0">IF(B3&gt;0, 1, 0)</f>
        <v>1</v>
      </c>
    </row>
    <row r="4" spans="1:5" x14ac:dyDescent="0.25">
      <c r="A4" t="s">
        <v>2</v>
      </c>
      <c r="B4">
        <v>69683.828125</v>
      </c>
      <c r="D4">
        <f t="shared" si="0"/>
        <v>1</v>
      </c>
    </row>
    <row r="5" spans="1:5" x14ac:dyDescent="0.25">
      <c r="A5" t="s">
        <v>3</v>
      </c>
      <c r="B5">
        <v>86616.3984375</v>
      </c>
      <c r="D5">
        <f t="shared" si="0"/>
        <v>1</v>
      </c>
    </row>
    <row r="6" spans="1:5" x14ac:dyDescent="0.25">
      <c r="A6" t="s">
        <v>4</v>
      </c>
      <c r="B6">
        <v>83209.9140625</v>
      </c>
      <c r="D6">
        <f t="shared" si="0"/>
        <v>1</v>
      </c>
    </row>
    <row r="7" spans="1:5" x14ac:dyDescent="0.25">
      <c r="A7" t="s">
        <v>5</v>
      </c>
      <c r="B7">
        <v>50715.55078125</v>
      </c>
      <c r="C7">
        <f>B7-(AVERAGE(B$2:B$6)+3*STDEV(B$2:B$6))</f>
        <v>-52253.060754843158</v>
      </c>
      <c r="D7">
        <f t="shared" si="0"/>
        <v>1</v>
      </c>
      <c r="E7">
        <f>IF(C7&gt;0, 1, 0)</f>
        <v>0</v>
      </c>
    </row>
    <row r="8" spans="1:5" x14ac:dyDescent="0.25">
      <c r="A8" t="s">
        <v>6</v>
      </c>
      <c r="B8">
        <v>51991.34765625</v>
      </c>
      <c r="C8">
        <f t="shared" ref="C8:C14" si="1">B8-(AVERAGE(B$2:B$6)+3*STDEV(B$2:B$6))</f>
        <v>-50977.263879843158</v>
      </c>
      <c r="D8">
        <f t="shared" si="0"/>
        <v>1</v>
      </c>
      <c r="E8">
        <f t="shared" si="0"/>
        <v>0</v>
      </c>
    </row>
    <row r="9" spans="1:5" x14ac:dyDescent="0.25">
      <c r="A9" t="s">
        <v>7</v>
      </c>
      <c r="B9">
        <v>43565.45703125</v>
      </c>
      <c r="C9">
        <f t="shared" si="1"/>
        <v>-59403.154504843158</v>
      </c>
      <c r="D9">
        <f t="shared" si="0"/>
        <v>1</v>
      </c>
      <c r="E9">
        <f t="shared" si="0"/>
        <v>0</v>
      </c>
    </row>
    <row r="10" spans="1:5" x14ac:dyDescent="0.25">
      <c r="A10" t="s">
        <v>8</v>
      </c>
      <c r="B10">
        <v>85819.9296875</v>
      </c>
      <c r="C10">
        <f t="shared" si="1"/>
        <v>-17148.681848593158</v>
      </c>
      <c r="D10">
        <f t="shared" si="0"/>
        <v>1</v>
      </c>
      <c r="E10">
        <f t="shared" si="0"/>
        <v>0</v>
      </c>
    </row>
    <row r="11" spans="1:5" x14ac:dyDescent="0.25">
      <c r="A11" t="s">
        <v>9</v>
      </c>
      <c r="B11">
        <v>86660.9375</v>
      </c>
      <c r="C11">
        <f t="shared" si="1"/>
        <v>-16307.674036093158</v>
      </c>
      <c r="D11">
        <f t="shared" si="0"/>
        <v>1</v>
      </c>
      <c r="E11">
        <f t="shared" si="0"/>
        <v>0</v>
      </c>
    </row>
    <row r="12" spans="1:5" x14ac:dyDescent="0.25">
      <c r="A12" t="s">
        <v>10</v>
      </c>
      <c r="B12">
        <v>77998.7421875</v>
      </c>
      <c r="C12">
        <f t="shared" si="1"/>
        <v>-24969.869348593158</v>
      </c>
      <c r="D12">
        <f t="shared" si="0"/>
        <v>1</v>
      </c>
      <c r="E12">
        <f t="shared" si="0"/>
        <v>0</v>
      </c>
    </row>
    <row r="13" spans="1:5" x14ac:dyDescent="0.25">
      <c r="A13" t="s">
        <v>11</v>
      </c>
      <c r="B13">
        <v>57350.08984375</v>
      </c>
      <c r="C13">
        <f t="shared" si="1"/>
        <v>-45618.521692343158</v>
      </c>
      <c r="D13">
        <f t="shared" si="0"/>
        <v>1</v>
      </c>
      <c r="E13">
        <f t="shared" si="0"/>
        <v>0</v>
      </c>
    </row>
    <row r="14" spans="1:5" x14ac:dyDescent="0.25">
      <c r="A14" t="s">
        <v>12</v>
      </c>
      <c r="B14">
        <v>64750.8515625</v>
      </c>
      <c r="C14">
        <f t="shared" si="1"/>
        <v>-38217.759973593158</v>
      </c>
      <c r="D14">
        <f t="shared" si="0"/>
        <v>1</v>
      </c>
      <c r="E14">
        <f t="shared" si="0"/>
        <v>0</v>
      </c>
    </row>
    <row r="16" spans="1:5" x14ac:dyDescent="0.25">
      <c r="D16">
        <f>SUM(D2:D14)/13 * 100</f>
        <v>100</v>
      </c>
      <c r="E16">
        <f>SUM(E7:E14)/8 * 100</f>
        <v>0</v>
      </c>
    </row>
    <row r="17" spans="2:2" x14ac:dyDescent="0.25">
      <c r="B17">
        <f>AVERAGE(B2:B14)</f>
        <v>68730.022235576922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10F7-F432-4C06-AE6D-4EA24129CE24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2397313</v>
      </c>
      <c r="D2">
        <f>IF(B2&gt;0, 1, 0)</f>
        <v>1</v>
      </c>
    </row>
    <row r="3" spans="1:5" x14ac:dyDescent="0.25">
      <c r="A3" t="s">
        <v>1</v>
      </c>
      <c r="B3">
        <v>2445803</v>
      </c>
      <c r="D3">
        <f t="shared" ref="D3:E14" si="0">IF(B3&gt;0, 1, 0)</f>
        <v>1</v>
      </c>
    </row>
    <row r="4" spans="1:5" x14ac:dyDescent="0.25">
      <c r="A4" t="s">
        <v>2</v>
      </c>
      <c r="B4">
        <v>2846578.5</v>
      </c>
      <c r="D4">
        <f t="shared" si="0"/>
        <v>1</v>
      </c>
    </row>
    <row r="5" spans="1:5" x14ac:dyDescent="0.25">
      <c r="A5" t="s">
        <v>3</v>
      </c>
      <c r="B5">
        <v>2701837.75</v>
      </c>
      <c r="D5">
        <f t="shared" si="0"/>
        <v>1</v>
      </c>
    </row>
    <row r="6" spans="1:5" x14ac:dyDescent="0.25">
      <c r="A6" t="s">
        <v>4</v>
      </c>
      <c r="B6">
        <v>2800271.5</v>
      </c>
      <c r="D6">
        <f t="shared" si="0"/>
        <v>1</v>
      </c>
    </row>
    <row r="7" spans="1:5" x14ac:dyDescent="0.25">
      <c r="A7" t="s">
        <v>5</v>
      </c>
      <c r="B7">
        <v>1728319.375</v>
      </c>
      <c r="C7">
        <f>B7-(AVERAGE(B$2:B$6)+3*STDEV(B$2:B$6))</f>
        <v>-1526286.8640246154</v>
      </c>
      <c r="D7">
        <f t="shared" si="0"/>
        <v>1</v>
      </c>
      <c r="E7">
        <f>IF(C7&gt;0, 1, 0)</f>
        <v>0</v>
      </c>
    </row>
    <row r="8" spans="1:5" x14ac:dyDescent="0.25">
      <c r="A8" t="s">
        <v>6</v>
      </c>
      <c r="B8">
        <v>1747214.75</v>
      </c>
      <c r="C8">
        <f t="shared" ref="C8:C14" si="1">B8-(AVERAGE(B$2:B$6)+3*STDEV(B$2:B$6))</f>
        <v>-1507391.4890246154</v>
      </c>
      <c r="D8">
        <f t="shared" si="0"/>
        <v>1</v>
      </c>
      <c r="E8">
        <f t="shared" si="0"/>
        <v>0</v>
      </c>
    </row>
    <row r="9" spans="1:5" x14ac:dyDescent="0.25">
      <c r="A9" t="s">
        <v>7</v>
      </c>
      <c r="B9">
        <v>1720155.75</v>
      </c>
      <c r="C9">
        <f t="shared" si="1"/>
        <v>-1534450.4890246154</v>
      </c>
      <c r="D9">
        <f t="shared" si="0"/>
        <v>1</v>
      </c>
      <c r="E9">
        <f t="shared" si="0"/>
        <v>0</v>
      </c>
    </row>
    <row r="10" spans="1:5" x14ac:dyDescent="0.25">
      <c r="A10" t="s">
        <v>8</v>
      </c>
      <c r="B10">
        <v>2765517.75</v>
      </c>
      <c r="C10">
        <f t="shared" si="1"/>
        <v>-489088.48902461538</v>
      </c>
      <c r="D10">
        <f t="shared" si="0"/>
        <v>1</v>
      </c>
      <c r="E10">
        <f t="shared" si="0"/>
        <v>0</v>
      </c>
    </row>
    <row r="11" spans="1:5" x14ac:dyDescent="0.25">
      <c r="A11" t="s">
        <v>9</v>
      </c>
      <c r="B11">
        <v>2788510.25</v>
      </c>
      <c r="C11">
        <f t="shared" si="1"/>
        <v>-466095.98902461538</v>
      </c>
      <c r="D11">
        <f t="shared" si="0"/>
        <v>1</v>
      </c>
      <c r="E11">
        <f t="shared" si="0"/>
        <v>0</v>
      </c>
    </row>
    <row r="12" spans="1:5" x14ac:dyDescent="0.25">
      <c r="A12" t="s">
        <v>10</v>
      </c>
      <c r="B12">
        <v>2815612.25</v>
      </c>
      <c r="C12">
        <f t="shared" si="1"/>
        <v>-438993.98902461538</v>
      </c>
      <c r="D12">
        <f t="shared" si="0"/>
        <v>1</v>
      </c>
      <c r="E12">
        <f t="shared" si="0"/>
        <v>0</v>
      </c>
    </row>
    <row r="13" spans="1:5" x14ac:dyDescent="0.25">
      <c r="A13" t="s">
        <v>11</v>
      </c>
      <c r="B13">
        <v>2519609.75</v>
      </c>
      <c r="C13">
        <f t="shared" si="1"/>
        <v>-734996.48902461538</v>
      </c>
      <c r="D13">
        <f t="shared" si="0"/>
        <v>1</v>
      </c>
      <c r="E13">
        <f t="shared" si="0"/>
        <v>0</v>
      </c>
    </row>
    <row r="14" spans="1:5" x14ac:dyDescent="0.25">
      <c r="A14" t="s">
        <v>12</v>
      </c>
      <c r="B14">
        <v>2528737.25</v>
      </c>
      <c r="C14">
        <f t="shared" si="1"/>
        <v>-725868.98902461538</v>
      </c>
      <c r="D14">
        <f t="shared" si="0"/>
        <v>1</v>
      </c>
      <c r="E14">
        <f t="shared" si="0"/>
        <v>0</v>
      </c>
    </row>
    <row r="16" spans="1:5" x14ac:dyDescent="0.25">
      <c r="D16">
        <f>SUM(D2:D14)/13 * 100</f>
        <v>100</v>
      </c>
      <c r="E16">
        <f>SUM(E7:E14)/8 * 100</f>
        <v>0</v>
      </c>
    </row>
    <row r="17" spans="2:2" x14ac:dyDescent="0.25">
      <c r="B17">
        <f>AVERAGE(B2:B14)</f>
        <v>2446575.451923077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3188-1494-4C27-944B-D377E8FB9B1B}">
  <dimension ref="A1:E19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3325.90869140625</v>
      </c>
      <c r="C7">
        <f>B7-(AVERAGE(B$2:B$6)+3*STDEV(B$2:B$6))</f>
        <v>3325.90869140625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6311.21533203125</v>
      </c>
      <c r="C8">
        <f t="shared" ref="C8:C14" si="1">B8-(AVERAGE(B$2:B$6)+3*STDEV(B$2:B$6))</f>
        <v>6311.21533203125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1449.09521484375</v>
      </c>
      <c r="C9">
        <f t="shared" si="1"/>
        <v>1449.09521484375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14155.345703125</v>
      </c>
      <c r="C10">
        <f t="shared" si="1"/>
        <v>14155.345703125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10251.2529296875</v>
      </c>
      <c r="C11">
        <f t="shared" si="1"/>
        <v>10251.2529296875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6924.20361328125</v>
      </c>
      <c r="C12">
        <f t="shared" si="1"/>
        <v>6924.20361328125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4019.98217773438</v>
      </c>
      <c r="C13">
        <f t="shared" si="1"/>
        <v>4019.98217773438</v>
      </c>
      <c r="D13">
        <f t="shared" si="0"/>
        <v>1</v>
      </c>
      <c r="E13">
        <f t="shared" si="0"/>
        <v>1</v>
      </c>
    </row>
    <row r="14" spans="1:5" x14ac:dyDescent="0.25">
      <c r="A14" t="s">
        <v>12</v>
      </c>
      <c r="B14">
        <v>0</v>
      </c>
      <c r="C14">
        <f t="shared" si="1"/>
        <v>0</v>
      </c>
      <c r="D14">
        <f t="shared" si="0"/>
        <v>0</v>
      </c>
      <c r="E14">
        <f t="shared" si="0"/>
        <v>0</v>
      </c>
    </row>
    <row r="16" spans="1:5" x14ac:dyDescent="0.25">
      <c r="D16">
        <f>SUM(D2:D14)/13 * 100</f>
        <v>53.846153846153847</v>
      </c>
      <c r="E16">
        <f>SUM(E7:E14)/8 * 100</f>
        <v>87.5</v>
      </c>
    </row>
    <row r="17" spans="1:2" x14ac:dyDescent="0.25">
      <c r="B17">
        <f>AVERAGE(B2:B14)</f>
        <v>3572.077204777645</v>
      </c>
    </row>
    <row r="19" spans="1:2" x14ac:dyDescent="0.25">
      <c r="A19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145B-C46C-4C93-88A6-B52C646370D6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51120.8046875</v>
      </c>
      <c r="C7">
        <f>B7-(AVERAGE(B$2:B$6)+3*STDEV(B$2:B$6))</f>
        <v>51120.8046875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61108.37109375</v>
      </c>
      <c r="C8">
        <f t="shared" ref="C8:C14" si="1">B8-(AVERAGE(B$2:B$6)+3*STDEV(B$2:B$6))</f>
        <v>61108.37109375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56102.08984375</v>
      </c>
      <c r="C9">
        <f t="shared" si="1"/>
        <v>56102.08984375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104585.375</v>
      </c>
      <c r="C10">
        <f t="shared" si="1"/>
        <v>104585.375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103256.1796875</v>
      </c>
      <c r="C11">
        <f t="shared" si="1"/>
        <v>103256.1796875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103122.8359375</v>
      </c>
      <c r="C12">
        <f t="shared" si="1"/>
        <v>103122.8359375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66476.8203125</v>
      </c>
      <c r="C13">
        <f t="shared" si="1"/>
        <v>66476.8203125</v>
      </c>
      <c r="D13">
        <f t="shared" si="0"/>
        <v>1</v>
      </c>
      <c r="E13">
        <f t="shared" si="0"/>
        <v>1</v>
      </c>
    </row>
    <row r="14" spans="1:5" x14ac:dyDescent="0.25">
      <c r="A14" t="s">
        <v>12</v>
      </c>
      <c r="B14">
        <v>65967.171875</v>
      </c>
      <c r="C14">
        <f t="shared" si="1"/>
        <v>65967.171875</v>
      </c>
      <c r="D14">
        <f t="shared" si="0"/>
        <v>1</v>
      </c>
      <c r="E14">
        <f t="shared" si="0"/>
        <v>1</v>
      </c>
    </row>
    <row r="16" spans="1:5" x14ac:dyDescent="0.25">
      <c r="D16">
        <f>SUM(D2:D14)/13 * 100</f>
        <v>61.53846153846154</v>
      </c>
      <c r="E16">
        <f>SUM(E7:E14)/8 * 100</f>
        <v>100</v>
      </c>
    </row>
    <row r="17" spans="2:2" x14ac:dyDescent="0.25">
      <c r="B17">
        <f>AVERAGE(B2:B14)</f>
        <v>47056.896033653844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B0E6-5A5B-4C02-98A3-54931C7DC318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0</v>
      </c>
      <c r="C7">
        <f>B7-(AVERAGE(B$2:B$6)+3*STDEV(B$2:B$6))</f>
        <v>0</v>
      </c>
      <c r="D7">
        <f t="shared" si="0"/>
        <v>0</v>
      </c>
      <c r="E7">
        <f>IF(C7&gt;0, 1, 0)</f>
        <v>0</v>
      </c>
    </row>
    <row r="8" spans="1:5" x14ac:dyDescent="0.25">
      <c r="A8" t="s">
        <v>6</v>
      </c>
      <c r="B8">
        <v>0</v>
      </c>
      <c r="C8">
        <f t="shared" ref="C8:C14" si="1">B8-(AVERAGE(B$2:B$6)+3*STDEV(B$2:B$6))</f>
        <v>0</v>
      </c>
      <c r="D8">
        <f t="shared" si="0"/>
        <v>0</v>
      </c>
      <c r="E8">
        <f t="shared" si="0"/>
        <v>0</v>
      </c>
    </row>
    <row r="9" spans="1:5" x14ac:dyDescent="0.25">
      <c r="A9" t="s">
        <v>7</v>
      </c>
      <c r="B9">
        <v>2613.88256835938</v>
      </c>
      <c r="C9">
        <f t="shared" si="1"/>
        <v>2613.88256835938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6067.1884765625</v>
      </c>
      <c r="C10">
        <f t="shared" si="1"/>
        <v>6067.1884765625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6112.1142578125</v>
      </c>
      <c r="C11">
        <f t="shared" si="1"/>
        <v>6112.1142578125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5914.23291015625</v>
      </c>
      <c r="C12">
        <f t="shared" si="1"/>
        <v>5914.23291015625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0</v>
      </c>
      <c r="C13">
        <f t="shared" si="1"/>
        <v>0</v>
      </c>
      <c r="D13">
        <f t="shared" si="0"/>
        <v>0</v>
      </c>
      <c r="E13">
        <f t="shared" si="0"/>
        <v>0</v>
      </c>
    </row>
    <row r="14" spans="1:5" x14ac:dyDescent="0.25">
      <c r="A14" t="s">
        <v>12</v>
      </c>
      <c r="B14">
        <v>0</v>
      </c>
      <c r="C14">
        <f t="shared" si="1"/>
        <v>0</v>
      </c>
      <c r="D14">
        <f t="shared" si="0"/>
        <v>0</v>
      </c>
      <c r="E14">
        <f t="shared" si="0"/>
        <v>0</v>
      </c>
    </row>
    <row r="16" spans="1:5" x14ac:dyDescent="0.25">
      <c r="D16">
        <f>SUM(D2:D14)/13 * 100</f>
        <v>30.76923076923077</v>
      </c>
      <c r="E16">
        <f>SUM(E7:E14)/8 * 100</f>
        <v>50</v>
      </c>
    </row>
    <row r="17" spans="2:2" x14ac:dyDescent="0.25">
      <c r="B17">
        <f>AVERAGE(B2:B14)</f>
        <v>1592.8783240685102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1C3A-F78D-440D-BD66-AE87DD7194BA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22.663446426391602</v>
      </c>
      <c r="D2">
        <f>IF(B2&gt;0, 1, 0)</f>
        <v>1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445.12939453125</v>
      </c>
      <c r="D6">
        <f t="shared" si="0"/>
        <v>1</v>
      </c>
    </row>
    <row r="7" spans="1:5" x14ac:dyDescent="0.25">
      <c r="A7" t="s">
        <v>5</v>
      </c>
      <c r="B7">
        <v>2276538</v>
      </c>
      <c r="C7">
        <f>B7-(AVERAGE(B$2:B$6)+3*STDEV(B$2:B$6))</f>
        <v>2275854.1046568602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2351341</v>
      </c>
      <c r="C8">
        <f t="shared" ref="C8:C14" si="1">B8-(AVERAGE(B$2:B$6)+3*STDEV(B$2:B$6))</f>
        <v>2350657.1046568602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2433654</v>
      </c>
      <c r="C9">
        <f t="shared" si="1"/>
        <v>2432970.1046568602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3055142.25</v>
      </c>
      <c r="C10">
        <f t="shared" si="1"/>
        <v>3054458.3546568602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3036440</v>
      </c>
      <c r="C11">
        <f t="shared" si="1"/>
        <v>3035756.1046568602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3036979</v>
      </c>
      <c r="C12">
        <f t="shared" si="1"/>
        <v>3036295.1046568602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2622149.25</v>
      </c>
      <c r="C13">
        <f t="shared" si="1"/>
        <v>2621465.3546568602</v>
      </c>
      <c r="D13">
        <f t="shared" si="0"/>
        <v>1</v>
      </c>
      <c r="E13">
        <f t="shared" si="0"/>
        <v>1</v>
      </c>
    </row>
    <row r="14" spans="1:5" x14ac:dyDescent="0.25">
      <c r="A14" t="s">
        <v>12</v>
      </c>
      <c r="B14">
        <v>2763856.5</v>
      </c>
      <c r="C14">
        <f t="shared" si="1"/>
        <v>2763172.6046568602</v>
      </c>
      <c r="D14">
        <f t="shared" si="0"/>
        <v>1</v>
      </c>
      <c r="E14">
        <f t="shared" si="0"/>
        <v>1</v>
      </c>
    </row>
    <row r="16" spans="1:5" x14ac:dyDescent="0.25">
      <c r="D16">
        <f>SUM(D2:D14)/13 * 100</f>
        <v>76.923076923076934</v>
      </c>
      <c r="E16">
        <f>SUM(E7:E14)/8 * 100</f>
        <v>100</v>
      </c>
    </row>
    <row r="17" spans="2:2" x14ac:dyDescent="0.25">
      <c r="B17">
        <f>AVERAGE(B2:B14)</f>
        <v>1659735.9840646891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CE9E-75B8-4A59-A12E-E0D1E93B39D0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1506597</v>
      </c>
      <c r="C7">
        <f>B7-(AVERAGE(B$2:B$6)+3*STDEV(B$2:B$6))</f>
        <v>1506597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1574906.125</v>
      </c>
      <c r="C8">
        <f t="shared" ref="C8:C14" si="1">B8-(AVERAGE(B$2:B$6)+3*STDEV(B$2:B$6))</f>
        <v>1574906.125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1527947.375</v>
      </c>
      <c r="C9">
        <f t="shared" si="1"/>
        <v>1527947.375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2347956.5</v>
      </c>
      <c r="C10">
        <f t="shared" si="1"/>
        <v>2347956.5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2351610.5</v>
      </c>
      <c r="C11">
        <f t="shared" si="1"/>
        <v>2351610.5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2363344.25</v>
      </c>
      <c r="C12">
        <f t="shared" si="1"/>
        <v>2363344.25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1534288.625</v>
      </c>
      <c r="C13">
        <f t="shared" si="1"/>
        <v>1534288.625</v>
      </c>
      <c r="D13">
        <f t="shared" si="0"/>
        <v>1</v>
      </c>
      <c r="E13">
        <f t="shared" si="0"/>
        <v>1</v>
      </c>
    </row>
    <row r="14" spans="1:5" x14ac:dyDescent="0.25">
      <c r="A14" t="s">
        <v>12</v>
      </c>
      <c r="B14">
        <v>1472780.125</v>
      </c>
      <c r="C14">
        <f t="shared" si="1"/>
        <v>1472780.125</v>
      </c>
      <c r="D14">
        <f t="shared" si="0"/>
        <v>1</v>
      </c>
      <c r="E14">
        <f t="shared" si="0"/>
        <v>1</v>
      </c>
    </row>
    <row r="16" spans="1:5" x14ac:dyDescent="0.25">
      <c r="D16">
        <f>SUM(D2:D14)/13 * 100</f>
        <v>61.53846153846154</v>
      </c>
      <c r="E16">
        <f>SUM(E7:E14)/8 * 100</f>
        <v>100</v>
      </c>
    </row>
    <row r="17" spans="2:2" x14ac:dyDescent="0.25">
      <c r="B17">
        <f>AVERAGE(B2:B14)</f>
        <v>1129186.9615384615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E29D-7B73-40B6-8CCA-CFFCF19C489C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2696340.5</v>
      </c>
      <c r="D2">
        <f>IF(B2&gt;0, 1, 0)</f>
        <v>1</v>
      </c>
    </row>
    <row r="3" spans="1:5" x14ac:dyDescent="0.25">
      <c r="A3" t="s">
        <v>1</v>
      </c>
      <c r="B3">
        <v>2669588.5</v>
      </c>
      <c r="D3">
        <f t="shared" ref="D3:E14" si="0">IF(B3&gt;0, 1, 0)</f>
        <v>1</v>
      </c>
    </row>
    <row r="4" spans="1:5" x14ac:dyDescent="0.25">
      <c r="A4" t="s">
        <v>2</v>
      </c>
      <c r="B4">
        <v>2507976.5</v>
      </c>
      <c r="D4">
        <f t="shared" si="0"/>
        <v>1</v>
      </c>
    </row>
    <row r="5" spans="1:5" x14ac:dyDescent="0.25">
      <c r="A5" t="s">
        <v>3</v>
      </c>
      <c r="B5">
        <v>2853058.5</v>
      </c>
      <c r="D5">
        <f t="shared" si="0"/>
        <v>1</v>
      </c>
    </row>
    <row r="6" spans="1:5" x14ac:dyDescent="0.25">
      <c r="A6" t="s">
        <v>4</v>
      </c>
      <c r="B6">
        <v>2479145</v>
      </c>
      <c r="D6">
        <f t="shared" si="0"/>
        <v>1</v>
      </c>
    </row>
    <row r="7" spans="1:5" x14ac:dyDescent="0.25">
      <c r="A7" t="s">
        <v>5</v>
      </c>
      <c r="B7">
        <v>1682276.625</v>
      </c>
      <c r="C7">
        <f>B7-(AVERAGE(B$2:B$6)+3*STDEV(B$2:B$6))</f>
        <v>-1415745.6089047305</v>
      </c>
      <c r="D7">
        <f t="shared" si="0"/>
        <v>1</v>
      </c>
      <c r="E7">
        <f>IF(C7&gt;0, 1, 0)</f>
        <v>0</v>
      </c>
    </row>
    <row r="8" spans="1:5" x14ac:dyDescent="0.25">
      <c r="A8" t="s">
        <v>6</v>
      </c>
      <c r="B8">
        <v>1716511.875</v>
      </c>
      <c r="C8">
        <f t="shared" ref="C8:C14" si="1">B8-(AVERAGE(B$2:B$6)+3*STDEV(B$2:B$6))</f>
        <v>-1381510.3589047305</v>
      </c>
      <c r="D8">
        <f t="shared" si="0"/>
        <v>1</v>
      </c>
      <c r="E8">
        <f t="shared" si="0"/>
        <v>0</v>
      </c>
    </row>
    <row r="9" spans="1:5" x14ac:dyDescent="0.25">
      <c r="A9" t="s">
        <v>7</v>
      </c>
      <c r="B9">
        <v>1745773.75</v>
      </c>
      <c r="C9">
        <f t="shared" si="1"/>
        <v>-1352248.4839047305</v>
      </c>
      <c r="D9">
        <f t="shared" si="0"/>
        <v>1</v>
      </c>
      <c r="E9">
        <f t="shared" si="0"/>
        <v>0</v>
      </c>
    </row>
    <row r="10" spans="1:5" x14ac:dyDescent="0.25">
      <c r="A10" t="s">
        <v>8</v>
      </c>
      <c r="B10">
        <v>1863251.25</v>
      </c>
      <c r="C10">
        <f t="shared" si="1"/>
        <v>-1234770.9839047305</v>
      </c>
      <c r="D10">
        <f t="shared" si="0"/>
        <v>1</v>
      </c>
      <c r="E10">
        <f t="shared" si="0"/>
        <v>0</v>
      </c>
    </row>
    <row r="11" spans="1:5" x14ac:dyDescent="0.25">
      <c r="A11" t="s">
        <v>9</v>
      </c>
      <c r="B11">
        <v>1872243.625</v>
      </c>
      <c r="C11">
        <f t="shared" si="1"/>
        <v>-1225778.6089047305</v>
      </c>
      <c r="D11">
        <f t="shared" si="0"/>
        <v>1</v>
      </c>
      <c r="E11">
        <f t="shared" si="0"/>
        <v>0</v>
      </c>
    </row>
    <row r="12" spans="1:5" x14ac:dyDescent="0.25">
      <c r="A12" t="s">
        <v>10</v>
      </c>
      <c r="B12">
        <v>1864810.25</v>
      </c>
      <c r="C12">
        <f t="shared" si="1"/>
        <v>-1233211.9839047305</v>
      </c>
      <c r="D12">
        <f t="shared" si="0"/>
        <v>1</v>
      </c>
      <c r="E12">
        <f t="shared" si="0"/>
        <v>0</v>
      </c>
    </row>
    <row r="13" spans="1:5" x14ac:dyDescent="0.25">
      <c r="A13" t="s">
        <v>11</v>
      </c>
      <c r="B13">
        <v>1661561.5</v>
      </c>
      <c r="C13">
        <f t="shared" si="1"/>
        <v>-1436460.7339047305</v>
      </c>
      <c r="D13">
        <f t="shared" si="0"/>
        <v>1</v>
      </c>
      <c r="E13">
        <f t="shared" si="0"/>
        <v>0</v>
      </c>
    </row>
    <row r="14" spans="1:5" x14ac:dyDescent="0.25">
      <c r="A14" t="s">
        <v>12</v>
      </c>
      <c r="B14">
        <v>1676780.75</v>
      </c>
      <c r="C14">
        <f t="shared" si="1"/>
        <v>-1421241.4839047305</v>
      </c>
      <c r="D14">
        <f t="shared" si="0"/>
        <v>1</v>
      </c>
      <c r="E14">
        <f t="shared" si="0"/>
        <v>0</v>
      </c>
    </row>
    <row r="16" spans="1:5" x14ac:dyDescent="0.25">
      <c r="D16">
        <f>SUM(D2:D14)/13 * 100</f>
        <v>100</v>
      </c>
      <c r="E16">
        <f>SUM(E7:E14)/8 * 100</f>
        <v>0</v>
      </c>
    </row>
    <row r="17" spans="2:2" x14ac:dyDescent="0.25">
      <c r="B17">
        <f>AVERAGE(B2:B14)</f>
        <v>2099178.355769231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76DF-C21E-4C19-B3CD-AB910E26AFC2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4387.17626953125</v>
      </c>
      <c r="C7">
        <f>B7-(AVERAGE(B$2:B$6)+3*STDEV(B$2:B$6))</f>
        <v>4387.17626953125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5261.6826171875</v>
      </c>
      <c r="C8">
        <f t="shared" ref="C8:C14" si="1">B8-(AVERAGE(B$2:B$6)+3*STDEV(B$2:B$6))</f>
        <v>5261.6826171875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2692.7744140625</v>
      </c>
      <c r="C9">
        <f t="shared" si="1"/>
        <v>2692.7744140625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0</v>
      </c>
      <c r="C10">
        <f t="shared" si="1"/>
        <v>0</v>
      </c>
      <c r="D10">
        <f t="shared" si="0"/>
        <v>0</v>
      </c>
      <c r="E10">
        <f t="shared" si="0"/>
        <v>0</v>
      </c>
    </row>
    <row r="11" spans="1:5" x14ac:dyDescent="0.25">
      <c r="A11" t="s">
        <v>9</v>
      </c>
      <c r="B11">
        <v>0</v>
      </c>
      <c r="C11">
        <f t="shared" si="1"/>
        <v>0</v>
      </c>
      <c r="D11">
        <f t="shared" si="0"/>
        <v>0</v>
      </c>
      <c r="E11">
        <f t="shared" si="0"/>
        <v>0</v>
      </c>
    </row>
    <row r="12" spans="1:5" x14ac:dyDescent="0.25">
      <c r="A12" t="s">
        <v>10</v>
      </c>
      <c r="B12">
        <v>0</v>
      </c>
      <c r="C12">
        <f t="shared" si="1"/>
        <v>0</v>
      </c>
      <c r="D12">
        <f t="shared" si="0"/>
        <v>0</v>
      </c>
      <c r="E12">
        <f t="shared" si="0"/>
        <v>0</v>
      </c>
    </row>
    <row r="13" spans="1:5" x14ac:dyDescent="0.25">
      <c r="A13" t="s">
        <v>11</v>
      </c>
      <c r="B13">
        <v>0</v>
      </c>
      <c r="C13">
        <f t="shared" si="1"/>
        <v>0</v>
      </c>
      <c r="D13">
        <f t="shared" si="0"/>
        <v>0</v>
      </c>
      <c r="E13">
        <f t="shared" si="0"/>
        <v>0</v>
      </c>
    </row>
    <row r="14" spans="1:5" x14ac:dyDescent="0.25">
      <c r="A14" t="s">
        <v>12</v>
      </c>
      <c r="B14">
        <v>0</v>
      </c>
      <c r="C14">
        <f t="shared" si="1"/>
        <v>0</v>
      </c>
      <c r="D14">
        <f t="shared" si="0"/>
        <v>0</v>
      </c>
      <c r="E14">
        <f t="shared" si="0"/>
        <v>0</v>
      </c>
    </row>
    <row r="16" spans="1:5" x14ac:dyDescent="0.25">
      <c r="D16">
        <f>SUM(D2:D14)/13 * 100</f>
        <v>23.076923076923077</v>
      </c>
      <c r="E16">
        <f>SUM(E7:E14)/8 * 100</f>
        <v>37.5</v>
      </c>
    </row>
    <row r="17" spans="2:2" x14ac:dyDescent="0.25">
      <c r="B17">
        <f>AVERAGE(B2:B14)</f>
        <v>949.35640775240381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0397-8353-463A-882C-3FE22A5D5D75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69798.1015625</v>
      </c>
      <c r="D2">
        <f>IF(B2&gt;0, 1, 0)</f>
        <v>1</v>
      </c>
    </row>
    <row r="3" spans="1:5" x14ac:dyDescent="0.25">
      <c r="A3" t="s">
        <v>1</v>
      </c>
      <c r="B3">
        <v>68369.4453125</v>
      </c>
      <c r="D3">
        <f t="shared" ref="D3:E14" si="0">IF(B3&gt;0, 1, 0)</f>
        <v>1</v>
      </c>
    </row>
    <row r="4" spans="1:5" x14ac:dyDescent="0.25">
      <c r="A4" t="s">
        <v>2</v>
      </c>
      <c r="B4">
        <v>66003.2578125</v>
      </c>
      <c r="D4">
        <f t="shared" si="0"/>
        <v>1</v>
      </c>
    </row>
    <row r="5" spans="1:5" x14ac:dyDescent="0.25">
      <c r="A5" t="s">
        <v>3</v>
      </c>
      <c r="B5">
        <v>81546.578125</v>
      </c>
      <c r="D5">
        <f t="shared" si="0"/>
        <v>1</v>
      </c>
    </row>
    <row r="6" spans="1:5" x14ac:dyDescent="0.25">
      <c r="A6" t="s">
        <v>4</v>
      </c>
      <c r="B6">
        <v>65632.34375</v>
      </c>
      <c r="D6">
        <f t="shared" si="0"/>
        <v>1</v>
      </c>
    </row>
    <row r="7" spans="1:5" x14ac:dyDescent="0.25">
      <c r="A7" t="s">
        <v>5</v>
      </c>
      <c r="B7">
        <v>92055.8828125</v>
      </c>
      <c r="C7">
        <f>B7-(AVERAGE(B$2:B$6)+3*STDEV(B$2:B$6))</f>
        <v>2187.5919477746793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105429.296875</v>
      </c>
      <c r="C8">
        <f t="shared" ref="C8:C14" si="1">B8-(AVERAGE(B$2:B$6)+3*STDEV(B$2:B$6))</f>
        <v>15561.006010274679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99373.421875</v>
      </c>
      <c r="C9">
        <f t="shared" si="1"/>
        <v>9505.1310102746793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84551.8671875</v>
      </c>
      <c r="C10">
        <f t="shared" si="1"/>
        <v>-5316.4236772253207</v>
      </c>
      <c r="D10">
        <f t="shared" si="0"/>
        <v>1</v>
      </c>
      <c r="E10">
        <f t="shared" si="0"/>
        <v>0</v>
      </c>
    </row>
    <row r="11" spans="1:5" x14ac:dyDescent="0.25">
      <c r="A11" t="s">
        <v>9</v>
      </c>
      <c r="B11">
        <v>92856.8046875</v>
      </c>
      <c r="C11">
        <f t="shared" si="1"/>
        <v>2988.5138227746793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92011.265625</v>
      </c>
      <c r="C12">
        <f t="shared" si="1"/>
        <v>2142.9747602746793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79530.109375</v>
      </c>
      <c r="C13">
        <f t="shared" si="1"/>
        <v>-10338.181489725321</v>
      </c>
      <c r="D13">
        <f t="shared" si="0"/>
        <v>1</v>
      </c>
      <c r="E13">
        <f t="shared" si="0"/>
        <v>0</v>
      </c>
    </row>
    <row r="14" spans="1:5" x14ac:dyDescent="0.25">
      <c r="A14" t="s">
        <v>12</v>
      </c>
      <c r="B14">
        <v>75180.359375</v>
      </c>
      <c r="C14">
        <f t="shared" si="1"/>
        <v>-14687.931489725321</v>
      </c>
      <c r="D14">
        <f t="shared" si="0"/>
        <v>1</v>
      </c>
      <c r="E14">
        <f t="shared" si="0"/>
        <v>0</v>
      </c>
    </row>
    <row r="16" spans="1:5" x14ac:dyDescent="0.25">
      <c r="D16">
        <f>SUM(D2:D14)/13 * 100</f>
        <v>100</v>
      </c>
      <c r="E16">
        <f>SUM(E7:E14)/8 * 100</f>
        <v>62.5</v>
      </c>
    </row>
    <row r="17" spans="2:2" x14ac:dyDescent="0.25">
      <c r="B17">
        <f>AVERAGE(B2:B14)</f>
        <v>82487.594951923078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6AFD-AB72-49D4-8676-B34BA24294E8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6431.6748046875</v>
      </c>
      <c r="C7">
        <f>B7-(AVERAGE(B$2:B$6)+3*STDEV(B$2:B$6))</f>
        <v>6431.6748046875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9010.33984375</v>
      </c>
      <c r="C8">
        <f t="shared" ref="C8:C14" si="1">B8-(AVERAGE(B$2:B$6)+3*STDEV(B$2:B$6))</f>
        <v>9010.33984375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8583.357421875</v>
      </c>
      <c r="C9">
        <f t="shared" si="1"/>
        <v>8583.357421875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3210.9296875</v>
      </c>
      <c r="C10">
        <f t="shared" si="1"/>
        <v>3210.9296875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4768.36865234375</v>
      </c>
      <c r="C11">
        <f t="shared" si="1"/>
        <v>4768.36865234375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5185.181640625</v>
      </c>
      <c r="C12">
        <f t="shared" si="1"/>
        <v>5185.181640625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2299.47412109375</v>
      </c>
      <c r="C13">
        <f t="shared" si="1"/>
        <v>2299.47412109375</v>
      </c>
      <c r="D13">
        <f t="shared" si="0"/>
        <v>1</v>
      </c>
      <c r="E13">
        <f t="shared" si="0"/>
        <v>1</v>
      </c>
    </row>
    <row r="14" spans="1:5" x14ac:dyDescent="0.25">
      <c r="A14" t="s">
        <v>12</v>
      </c>
      <c r="B14">
        <v>0</v>
      </c>
      <c r="C14">
        <f t="shared" si="1"/>
        <v>0</v>
      </c>
      <c r="D14">
        <f t="shared" si="0"/>
        <v>0</v>
      </c>
      <c r="E14">
        <f t="shared" si="0"/>
        <v>0</v>
      </c>
    </row>
    <row r="16" spans="1:5" x14ac:dyDescent="0.25">
      <c r="D16">
        <f>SUM(D2:D14)/13 * 100</f>
        <v>53.846153846153847</v>
      </c>
      <c r="E16">
        <f>SUM(E7:E14)/8 * 100</f>
        <v>87.5</v>
      </c>
    </row>
    <row r="17" spans="2:2" x14ac:dyDescent="0.25">
      <c r="B17">
        <f>AVERAGE(B2:B14)</f>
        <v>3037.6404747596152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88D7-A45C-4CB7-B512-97C064450FDC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328549.25</v>
      </c>
      <c r="D2">
        <f>IF(B2&gt;0, 1, 0)</f>
        <v>1</v>
      </c>
    </row>
    <row r="3" spans="1:5" x14ac:dyDescent="0.25">
      <c r="A3" t="s">
        <v>1</v>
      </c>
      <c r="B3">
        <v>349568.15625</v>
      </c>
      <c r="D3">
        <f t="shared" ref="D3:E14" si="0">IF(B3&gt;0, 1, 0)</f>
        <v>1</v>
      </c>
    </row>
    <row r="4" spans="1:5" x14ac:dyDescent="0.25">
      <c r="A4" t="s">
        <v>2</v>
      </c>
      <c r="B4">
        <v>344527.125</v>
      </c>
      <c r="D4">
        <f t="shared" si="0"/>
        <v>1</v>
      </c>
    </row>
    <row r="5" spans="1:5" x14ac:dyDescent="0.25">
      <c r="A5" t="s">
        <v>3</v>
      </c>
      <c r="B5">
        <v>372575.28125</v>
      </c>
      <c r="D5">
        <f t="shared" si="0"/>
        <v>1</v>
      </c>
    </row>
    <row r="6" spans="1:5" x14ac:dyDescent="0.25">
      <c r="A6" t="s">
        <v>4</v>
      </c>
      <c r="B6">
        <v>346503.15625</v>
      </c>
      <c r="D6">
        <f t="shared" si="0"/>
        <v>1</v>
      </c>
    </row>
    <row r="7" spans="1:5" x14ac:dyDescent="0.25">
      <c r="A7" t="s">
        <v>5</v>
      </c>
      <c r="B7">
        <v>382461.84375</v>
      </c>
      <c r="C7">
        <f>B7-(AVERAGE(B$2:B$6)+3*STDEV(B$2:B$6))</f>
        <v>-13279.971021820558</v>
      </c>
      <c r="D7">
        <f t="shared" si="0"/>
        <v>1</v>
      </c>
      <c r="E7">
        <f>IF(C7&gt;0, 1, 0)</f>
        <v>0</v>
      </c>
    </row>
    <row r="8" spans="1:5" x14ac:dyDescent="0.25">
      <c r="A8" t="s">
        <v>6</v>
      </c>
      <c r="B8">
        <v>425844.875</v>
      </c>
      <c r="C8">
        <f t="shared" ref="C8:C14" si="1">B8-(AVERAGE(B$2:B$6)+3*STDEV(B$2:B$6))</f>
        <v>30103.060228179442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416779.125</v>
      </c>
      <c r="C9">
        <f t="shared" si="1"/>
        <v>21037.310228179442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380325.96875</v>
      </c>
      <c r="C10">
        <f t="shared" si="1"/>
        <v>-15415.846021820558</v>
      </c>
      <c r="D10">
        <f t="shared" si="0"/>
        <v>1</v>
      </c>
      <c r="E10">
        <f t="shared" si="0"/>
        <v>0</v>
      </c>
    </row>
    <row r="11" spans="1:5" x14ac:dyDescent="0.25">
      <c r="A11" t="s">
        <v>9</v>
      </c>
      <c r="B11">
        <v>382843.09375</v>
      </c>
      <c r="C11">
        <f t="shared" si="1"/>
        <v>-12898.721021820558</v>
      </c>
      <c r="D11">
        <f t="shared" si="0"/>
        <v>1</v>
      </c>
      <c r="E11">
        <f t="shared" si="0"/>
        <v>0</v>
      </c>
    </row>
    <row r="12" spans="1:5" x14ac:dyDescent="0.25">
      <c r="A12" t="s">
        <v>10</v>
      </c>
      <c r="B12">
        <v>415339.1875</v>
      </c>
      <c r="C12">
        <f t="shared" si="1"/>
        <v>19597.372728179442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373603.625</v>
      </c>
      <c r="C13">
        <f t="shared" si="1"/>
        <v>-22138.189771820558</v>
      </c>
      <c r="D13">
        <f t="shared" si="0"/>
        <v>1</v>
      </c>
      <c r="E13">
        <f t="shared" si="0"/>
        <v>0</v>
      </c>
    </row>
    <row r="14" spans="1:5" x14ac:dyDescent="0.25">
      <c r="A14" t="s">
        <v>12</v>
      </c>
      <c r="B14">
        <v>379747.90625</v>
      </c>
      <c r="C14">
        <f t="shared" si="1"/>
        <v>-15993.908521820558</v>
      </c>
      <c r="D14">
        <f t="shared" si="0"/>
        <v>1</v>
      </c>
      <c r="E14">
        <f t="shared" si="0"/>
        <v>0</v>
      </c>
    </row>
    <row r="16" spans="1:5" x14ac:dyDescent="0.25">
      <c r="D16">
        <f>SUM(D2:D14)/13 * 100</f>
        <v>100</v>
      </c>
      <c r="E16">
        <f>SUM(E7:E14)/8 * 100</f>
        <v>37.5</v>
      </c>
    </row>
    <row r="17" spans="2:2" x14ac:dyDescent="0.25">
      <c r="B17">
        <f>AVERAGE(B2:B14)</f>
        <v>376820.66105769231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A435-9AAF-482D-99AF-F69269029229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4098.52978515625</v>
      </c>
      <c r="C7">
        <f>B7-(AVERAGE(B$2:B$6)+3*STDEV(B$2:B$6))</f>
        <v>4098.52978515625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4639.470703125</v>
      </c>
      <c r="C8">
        <f t="shared" ref="C8:C14" si="1">B8-(AVERAGE(B$2:B$6)+3*STDEV(B$2:B$6))</f>
        <v>4639.470703125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2400.79418945313</v>
      </c>
      <c r="C9">
        <f t="shared" si="1"/>
        <v>2400.79418945313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7682.24951171875</v>
      </c>
      <c r="C10">
        <f t="shared" si="1"/>
        <v>7682.24951171875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5800.00830078125</v>
      </c>
      <c r="C11">
        <f t="shared" si="1"/>
        <v>5800.00830078125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6797.3125</v>
      </c>
      <c r="C12">
        <f t="shared" si="1"/>
        <v>6797.3125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0</v>
      </c>
      <c r="C13">
        <f t="shared" si="1"/>
        <v>0</v>
      </c>
      <c r="D13">
        <f t="shared" si="0"/>
        <v>0</v>
      </c>
      <c r="E13">
        <f t="shared" si="0"/>
        <v>0</v>
      </c>
    </row>
    <row r="14" spans="1:5" x14ac:dyDescent="0.25">
      <c r="A14" t="s">
        <v>12</v>
      </c>
      <c r="B14">
        <v>1909.25390625</v>
      </c>
      <c r="C14">
        <f t="shared" si="1"/>
        <v>1909.25390625</v>
      </c>
      <c r="D14">
        <f t="shared" si="0"/>
        <v>1</v>
      </c>
      <c r="E14">
        <f t="shared" si="0"/>
        <v>1</v>
      </c>
    </row>
    <row r="16" spans="1:5" x14ac:dyDescent="0.25">
      <c r="D16">
        <f>SUM(D2:D14)/13 * 100</f>
        <v>53.846153846153847</v>
      </c>
      <c r="E16">
        <f>SUM(E7:E14)/8 * 100</f>
        <v>87.5</v>
      </c>
    </row>
    <row r="17" spans="2:2" x14ac:dyDescent="0.25">
      <c r="B17">
        <f>AVERAGE(B2:B14)</f>
        <v>2563.6629920372602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B079-11F4-48D2-A74B-22D8B71CC3A8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4526.8828125</v>
      </c>
      <c r="D2">
        <f>IF(B2&gt;0, 1, 0)</f>
        <v>1</v>
      </c>
    </row>
    <row r="3" spans="1:5" x14ac:dyDescent="0.25">
      <c r="A3" t="s">
        <v>1</v>
      </c>
      <c r="B3">
        <v>1683.16320800781</v>
      </c>
      <c r="D3">
        <f t="shared" ref="D3:E14" si="0">IF(B3&gt;0, 1, 0)</f>
        <v>1</v>
      </c>
    </row>
    <row r="4" spans="1:5" x14ac:dyDescent="0.25">
      <c r="A4" t="s">
        <v>2</v>
      </c>
      <c r="B4">
        <v>3053.68090820313</v>
      </c>
      <c r="D4">
        <f t="shared" si="0"/>
        <v>1</v>
      </c>
    </row>
    <row r="5" spans="1:5" x14ac:dyDescent="0.25">
      <c r="A5" t="s">
        <v>3</v>
      </c>
      <c r="B5">
        <v>4303.89892578125</v>
      </c>
      <c r="D5">
        <f t="shared" si="0"/>
        <v>1</v>
      </c>
    </row>
    <row r="6" spans="1:5" x14ac:dyDescent="0.25">
      <c r="A6" t="s">
        <v>4</v>
      </c>
      <c r="B6">
        <v>1694.91577148438</v>
      </c>
      <c r="D6">
        <f t="shared" si="0"/>
        <v>1</v>
      </c>
    </row>
    <row r="7" spans="1:5" x14ac:dyDescent="0.25">
      <c r="A7" t="s">
        <v>5</v>
      </c>
      <c r="B7">
        <v>293705.9375</v>
      </c>
      <c r="C7">
        <f>B7-(AVERAGE(B$2:B$6)+3*STDEV(B$2:B$6))</f>
        <v>286557.0493163896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300910.03125</v>
      </c>
      <c r="C8">
        <f t="shared" ref="C8:C14" si="1">B8-(AVERAGE(B$2:B$6)+3*STDEV(B$2:B$6))</f>
        <v>293761.1430663896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286102.0625</v>
      </c>
      <c r="C9">
        <f t="shared" si="1"/>
        <v>278953.1743163896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355375.53125</v>
      </c>
      <c r="C10">
        <f t="shared" si="1"/>
        <v>348226.6430663896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387440.125</v>
      </c>
      <c r="C11">
        <f t="shared" si="1"/>
        <v>380291.2368163896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374613.03125</v>
      </c>
      <c r="C12">
        <f t="shared" si="1"/>
        <v>367464.1430663896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264580.75</v>
      </c>
      <c r="C13">
        <f t="shared" si="1"/>
        <v>257431.86181638957</v>
      </c>
      <c r="D13">
        <f t="shared" si="0"/>
        <v>1</v>
      </c>
      <c r="E13">
        <f t="shared" si="0"/>
        <v>1</v>
      </c>
    </row>
    <row r="14" spans="1:5" x14ac:dyDescent="0.25">
      <c r="A14" t="s">
        <v>12</v>
      </c>
      <c r="B14">
        <v>236942.75</v>
      </c>
      <c r="C14">
        <f t="shared" si="1"/>
        <v>229793.86181638957</v>
      </c>
      <c r="D14">
        <f t="shared" si="0"/>
        <v>1</v>
      </c>
      <c r="E14">
        <f t="shared" si="0"/>
        <v>1</v>
      </c>
    </row>
    <row r="16" spans="1:5" x14ac:dyDescent="0.25">
      <c r="D16">
        <f>SUM(D2:D14)/13 * 100</f>
        <v>100</v>
      </c>
      <c r="E16">
        <f>SUM(E7:E14)/8 * 100</f>
        <v>100</v>
      </c>
    </row>
    <row r="17" spans="2:2" x14ac:dyDescent="0.25">
      <c r="B17">
        <f>AVERAGE(B2:B14)</f>
        <v>193456.36618276744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0E46-680E-43C5-899C-332D591CDF68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626116.5</v>
      </c>
      <c r="D2">
        <f>IF(B2&gt;0, 1, 0)</f>
        <v>1</v>
      </c>
    </row>
    <row r="3" spans="1:5" x14ac:dyDescent="0.25">
      <c r="A3" t="s">
        <v>1</v>
      </c>
      <c r="B3">
        <v>659753</v>
      </c>
      <c r="D3">
        <f t="shared" ref="D3:E14" si="0">IF(B3&gt;0, 1, 0)</f>
        <v>1</v>
      </c>
    </row>
    <row r="4" spans="1:5" x14ac:dyDescent="0.25">
      <c r="A4" t="s">
        <v>2</v>
      </c>
      <c r="B4">
        <v>661851.5</v>
      </c>
      <c r="D4">
        <f t="shared" si="0"/>
        <v>1</v>
      </c>
    </row>
    <row r="5" spans="1:5" x14ac:dyDescent="0.25">
      <c r="A5" t="s">
        <v>3</v>
      </c>
      <c r="B5">
        <v>685317.75</v>
      </c>
      <c r="D5">
        <f t="shared" si="0"/>
        <v>1</v>
      </c>
    </row>
    <row r="6" spans="1:5" x14ac:dyDescent="0.25">
      <c r="A6" t="s">
        <v>4</v>
      </c>
      <c r="B6">
        <v>653382.125</v>
      </c>
      <c r="D6">
        <f t="shared" si="0"/>
        <v>1</v>
      </c>
    </row>
    <row r="7" spans="1:5" x14ac:dyDescent="0.25">
      <c r="A7" t="s">
        <v>5</v>
      </c>
      <c r="B7">
        <v>608325.9375</v>
      </c>
      <c r="C7">
        <f>B7-(AVERAGE(B$2:B$6)+3*STDEV(B$2:B$6))</f>
        <v>-112588.77570361143</v>
      </c>
      <c r="D7">
        <f t="shared" si="0"/>
        <v>1</v>
      </c>
      <c r="E7">
        <f>IF(C7&gt;0, 1, 0)</f>
        <v>0</v>
      </c>
    </row>
    <row r="8" spans="1:5" x14ac:dyDescent="0.25">
      <c r="A8" t="s">
        <v>6</v>
      </c>
      <c r="B8">
        <v>641939.3125</v>
      </c>
      <c r="C8">
        <f t="shared" ref="C8:C14" si="1">B8-(AVERAGE(B$2:B$6)+3*STDEV(B$2:B$6))</f>
        <v>-78975.400703611434</v>
      </c>
      <c r="D8">
        <f t="shared" si="0"/>
        <v>1</v>
      </c>
      <c r="E8">
        <f t="shared" si="0"/>
        <v>0</v>
      </c>
    </row>
    <row r="9" spans="1:5" x14ac:dyDescent="0.25">
      <c r="A9" t="s">
        <v>7</v>
      </c>
      <c r="B9">
        <v>620447.0625</v>
      </c>
      <c r="C9">
        <f t="shared" si="1"/>
        <v>-100467.65070361143</v>
      </c>
      <c r="D9">
        <f t="shared" si="0"/>
        <v>1</v>
      </c>
      <c r="E9">
        <f t="shared" si="0"/>
        <v>0</v>
      </c>
    </row>
    <row r="10" spans="1:5" x14ac:dyDescent="0.25">
      <c r="A10" t="s">
        <v>8</v>
      </c>
      <c r="B10">
        <v>753973.4375</v>
      </c>
      <c r="C10">
        <f t="shared" si="1"/>
        <v>33058.724296388566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754605.6875</v>
      </c>
      <c r="C11">
        <f t="shared" si="1"/>
        <v>33690.974296388566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797468.3125</v>
      </c>
      <c r="C12">
        <f t="shared" si="1"/>
        <v>76553.599296388566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679001</v>
      </c>
      <c r="C13">
        <f t="shared" si="1"/>
        <v>-41913.713203611434</v>
      </c>
      <c r="D13">
        <f t="shared" si="0"/>
        <v>1</v>
      </c>
      <c r="E13">
        <f t="shared" si="0"/>
        <v>0</v>
      </c>
    </row>
    <row r="14" spans="1:5" x14ac:dyDescent="0.25">
      <c r="A14" t="s">
        <v>12</v>
      </c>
      <c r="B14">
        <v>695017.3125</v>
      </c>
      <c r="C14">
        <f t="shared" si="1"/>
        <v>-25897.400703611434</v>
      </c>
      <c r="D14">
        <f t="shared" si="0"/>
        <v>1</v>
      </c>
      <c r="E14">
        <f t="shared" si="0"/>
        <v>0</v>
      </c>
    </row>
    <row r="16" spans="1:5" x14ac:dyDescent="0.25">
      <c r="D16">
        <f>SUM(D2:D14)/13 * 100</f>
        <v>100</v>
      </c>
      <c r="E16">
        <f>SUM(E7:E14)/8 * 100</f>
        <v>37.5</v>
      </c>
    </row>
    <row r="17" spans="2:2" x14ac:dyDescent="0.25">
      <c r="B17">
        <f>AVERAGE(B2:B14)</f>
        <v>679784.53365384613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9702-5FBC-47D5-A77D-76A613184E77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59.975738525390597</v>
      </c>
      <c r="D6">
        <f t="shared" si="0"/>
        <v>1</v>
      </c>
    </row>
    <row r="7" spans="1:5" x14ac:dyDescent="0.25">
      <c r="A7" t="s">
        <v>5</v>
      </c>
      <c r="B7">
        <v>38310.765625</v>
      </c>
      <c r="C7">
        <f>B7-(AVERAGE(B$2:B$6)+3*STDEV(B$2:B$6))</f>
        <v>38218.304580288808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39549.5234375</v>
      </c>
      <c r="C8">
        <f t="shared" ref="C8:C14" si="1">B8-(AVERAGE(B$2:B$6)+3*STDEV(B$2:B$6))</f>
        <v>39457.062392788808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37016.54296875</v>
      </c>
      <c r="C9">
        <f t="shared" si="1"/>
        <v>36924.081924038808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66430.625</v>
      </c>
      <c r="C10">
        <f t="shared" si="1"/>
        <v>66338.163955288808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57609.11328125</v>
      </c>
      <c r="C11">
        <f t="shared" si="1"/>
        <v>57516.652236538808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64442.453125</v>
      </c>
      <c r="C12">
        <f t="shared" si="1"/>
        <v>64349.992080288808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38793.4296875</v>
      </c>
      <c r="C13">
        <f t="shared" si="1"/>
        <v>38700.968642788808</v>
      </c>
      <c r="D13">
        <f t="shared" si="0"/>
        <v>1</v>
      </c>
      <c r="E13">
        <f t="shared" si="0"/>
        <v>1</v>
      </c>
    </row>
    <row r="14" spans="1:5" x14ac:dyDescent="0.25">
      <c r="A14" t="s">
        <v>12</v>
      </c>
      <c r="B14">
        <v>36948.4921875</v>
      </c>
      <c r="C14">
        <f t="shared" si="1"/>
        <v>36856.031142788808</v>
      </c>
      <c r="D14">
        <f t="shared" si="0"/>
        <v>1</v>
      </c>
      <c r="E14">
        <f t="shared" si="0"/>
        <v>1</v>
      </c>
    </row>
    <row r="16" spans="1:5" x14ac:dyDescent="0.25">
      <c r="D16">
        <f>SUM(D2:D14)/13 * 100</f>
        <v>69.230769230769226</v>
      </c>
      <c r="E16">
        <f>SUM(E7:E14)/8 * 100</f>
        <v>100</v>
      </c>
    </row>
    <row r="17" spans="2:2" x14ac:dyDescent="0.25">
      <c r="B17">
        <f>AVERAGE(B2:B14)</f>
        <v>29166.224696232723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2B4B-8929-4ECB-8BD3-19501EE1AC1C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326238.34375</v>
      </c>
      <c r="D2">
        <f>IF(B2&gt;0, 1, 0)</f>
        <v>1</v>
      </c>
    </row>
    <row r="3" spans="1:5" x14ac:dyDescent="0.25">
      <c r="A3" t="s">
        <v>1</v>
      </c>
      <c r="B3">
        <v>354287.03125</v>
      </c>
      <c r="D3">
        <f t="shared" ref="D3:E14" si="0">IF(B3&gt;0, 1, 0)</f>
        <v>1</v>
      </c>
    </row>
    <row r="4" spans="1:5" x14ac:dyDescent="0.25">
      <c r="A4" t="s">
        <v>2</v>
      </c>
      <c r="B4">
        <v>343340.6875</v>
      </c>
      <c r="D4">
        <f t="shared" si="0"/>
        <v>1</v>
      </c>
    </row>
    <row r="5" spans="1:5" x14ac:dyDescent="0.25">
      <c r="A5" t="s">
        <v>3</v>
      </c>
      <c r="B5">
        <v>358255.15625</v>
      </c>
      <c r="D5">
        <f t="shared" si="0"/>
        <v>1</v>
      </c>
    </row>
    <row r="6" spans="1:5" x14ac:dyDescent="0.25">
      <c r="A6" t="s">
        <v>4</v>
      </c>
      <c r="B6">
        <v>344247.875</v>
      </c>
      <c r="D6">
        <f t="shared" si="0"/>
        <v>1</v>
      </c>
    </row>
    <row r="7" spans="1:5" x14ac:dyDescent="0.25">
      <c r="A7" t="s">
        <v>5</v>
      </c>
      <c r="B7">
        <v>268956.375</v>
      </c>
      <c r="C7">
        <f>B7-(AVERAGE(B$2:B$6)+3*STDEV(B$2:B$6))</f>
        <v>-113573.40936318471</v>
      </c>
      <c r="D7">
        <f t="shared" si="0"/>
        <v>1</v>
      </c>
      <c r="E7">
        <f>IF(C7&gt;0, 1, 0)</f>
        <v>0</v>
      </c>
    </row>
    <row r="8" spans="1:5" x14ac:dyDescent="0.25">
      <c r="A8" t="s">
        <v>6</v>
      </c>
      <c r="B8">
        <v>266823.15625</v>
      </c>
      <c r="C8">
        <f t="shared" ref="C8:C14" si="1">B8-(AVERAGE(B$2:B$6)+3*STDEV(B$2:B$6))</f>
        <v>-115706.62811318471</v>
      </c>
      <c r="D8">
        <f t="shared" si="0"/>
        <v>1</v>
      </c>
      <c r="E8">
        <f t="shared" si="0"/>
        <v>0</v>
      </c>
    </row>
    <row r="9" spans="1:5" x14ac:dyDescent="0.25">
      <c r="A9" t="s">
        <v>7</v>
      </c>
      <c r="B9">
        <v>243906.234375</v>
      </c>
      <c r="C9">
        <f t="shared" si="1"/>
        <v>-138623.54998818471</v>
      </c>
      <c r="D9">
        <f t="shared" si="0"/>
        <v>1</v>
      </c>
      <c r="E9">
        <f t="shared" si="0"/>
        <v>0</v>
      </c>
    </row>
    <row r="10" spans="1:5" x14ac:dyDescent="0.25">
      <c r="A10" t="s">
        <v>8</v>
      </c>
      <c r="B10">
        <v>354071.0625</v>
      </c>
      <c r="C10">
        <f t="shared" si="1"/>
        <v>-28458.721863184706</v>
      </c>
      <c r="D10">
        <f t="shared" si="0"/>
        <v>1</v>
      </c>
      <c r="E10">
        <f t="shared" si="0"/>
        <v>0</v>
      </c>
    </row>
    <row r="11" spans="1:5" x14ac:dyDescent="0.25">
      <c r="A11" t="s">
        <v>9</v>
      </c>
      <c r="B11">
        <v>363293.71875</v>
      </c>
      <c r="C11">
        <f t="shared" si="1"/>
        <v>-19236.065613184706</v>
      </c>
      <c r="D11">
        <f t="shared" si="0"/>
        <v>1</v>
      </c>
      <c r="E11">
        <f t="shared" si="0"/>
        <v>0</v>
      </c>
    </row>
    <row r="12" spans="1:5" x14ac:dyDescent="0.25">
      <c r="A12" t="s">
        <v>10</v>
      </c>
      <c r="B12">
        <v>367311.15625</v>
      </c>
      <c r="C12">
        <f t="shared" si="1"/>
        <v>-15218.628113184706</v>
      </c>
      <c r="D12">
        <f t="shared" si="0"/>
        <v>1</v>
      </c>
      <c r="E12">
        <f t="shared" si="0"/>
        <v>0</v>
      </c>
    </row>
    <row r="13" spans="1:5" x14ac:dyDescent="0.25">
      <c r="A13" t="s">
        <v>11</v>
      </c>
      <c r="B13">
        <v>298605.25</v>
      </c>
      <c r="C13">
        <f t="shared" si="1"/>
        <v>-83924.534363184706</v>
      </c>
      <c r="D13">
        <f t="shared" si="0"/>
        <v>1</v>
      </c>
      <c r="E13">
        <f t="shared" si="0"/>
        <v>0</v>
      </c>
    </row>
    <row r="14" spans="1:5" x14ac:dyDescent="0.25">
      <c r="A14" t="s">
        <v>12</v>
      </c>
      <c r="B14">
        <v>305274.15625</v>
      </c>
      <c r="C14">
        <f t="shared" si="1"/>
        <v>-77255.628113184706</v>
      </c>
      <c r="D14">
        <f t="shared" si="0"/>
        <v>1</v>
      </c>
      <c r="E14">
        <f t="shared" si="0"/>
        <v>0</v>
      </c>
    </row>
    <row r="16" spans="1:5" x14ac:dyDescent="0.25">
      <c r="D16">
        <f>SUM(D2:D14)/13 * 100</f>
        <v>100</v>
      </c>
      <c r="E16">
        <f>SUM(E7:E14)/8 * 100</f>
        <v>0</v>
      </c>
    </row>
    <row r="17" spans="2:2" x14ac:dyDescent="0.25">
      <c r="B17">
        <f>AVERAGE(B2:B14)</f>
        <v>322662.32331730769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1543-3248-43B1-8CC1-89E16ADD1168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5807.3310546875</v>
      </c>
      <c r="C7">
        <f>B7-(AVERAGE(B$2:B$6)+3*STDEV(B$2:B$6))</f>
        <v>5807.3310546875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4705.115234375</v>
      </c>
      <c r="C8">
        <f t="shared" ref="C8:C14" si="1">B8-(AVERAGE(B$2:B$6)+3*STDEV(B$2:B$6))</f>
        <v>4705.115234375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7633.1455078125</v>
      </c>
      <c r="C9">
        <f t="shared" si="1"/>
        <v>7633.1455078125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9279.103515625</v>
      </c>
      <c r="C10">
        <f t="shared" si="1"/>
        <v>9279.103515625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0</v>
      </c>
      <c r="C11">
        <f t="shared" si="1"/>
        <v>0</v>
      </c>
      <c r="D11">
        <f t="shared" si="0"/>
        <v>0</v>
      </c>
      <c r="E11">
        <f t="shared" si="0"/>
        <v>0</v>
      </c>
    </row>
    <row r="12" spans="1:5" x14ac:dyDescent="0.25">
      <c r="A12" t="s">
        <v>10</v>
      </c>
      <c r="B12">
        <v>9098.2724609375</v>
      </c>
      <c r="C12">
        <f t="shared" si="1"/>
        <v>9098.2724609375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0</v>
      </c>
      <c r="C13">
        <f t="shared" si="1"/>
        <v>0</v>
      </c>
      <c r="D13">
        <f t="shared" si="0"/>
        <v>0</v>
      </c>
      <c r="E13">
        <f t="shared" si="0"/>
        <v>0</v>
      </c>
    </row>
    <row r="14" spans="1:5" x14ac:dyDescent="0.25">
      <c r="A14" t="s">
        <v>12</v>
      </c>
      <c r="B14">
        <v>0</v>
      </c>
      <c r="C14">
        <f t="shared" si="1"/>
        <v>0</v>
      </c>
      <c r="D14">
        <f t="shared" si="0"/>
        <v>0</v>
      </c>
      <c r="E14">
        <f t="shared" si="0"/>
        <v>0</v>
      </c>
    </row>
    <row r="16" spans="1:5" x14ac:dyDescent="0.25">
      <c r="D16">
        <f>SUM(D2:D14)/13 * 100</f>
        <v>38.461538461538467</v>
      </c>
      <c r="E16">
        <f>SUM(E7:E14)/8 * 100</f>
        <v>62.5</v>
      </c>
    </row>
    <row r="17" spans="2:2" x14ac:dyDescent="0.25">
      <c r="B17">
        <f>AVERAGE(B2:B14)</f>
        <v>2809.4590594951924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1E8F-7775-41F2-A9E3-56941E817487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245209.03125</v>
      </c>
      <c r="D2">
        <f>IF(B2&gt;0, 1, 0)</f>
        <v>1</v>
      </c>
    </row>
    <row r="3" spans="1:5" x14ac:dyDescent="0.25">
      <c r="A3" t="s">
        <v>1</v>
      </c>
      <c r="B3">
        <v>240123.96875</v>
      </c>
      <c r="D3">
        <f t="shared" ref="D3:E14" si="0">IF(B3&gt;0, 1, 0)</f>
        <v>1</v>
      </c>
    </row>
    <row r="4" spans="1:5" x14ac:dyDescent="0.25">
      <c r="A4" t="s">
        <v>2</v>
      </c>
      <c r="B4">
        <v>264158.40625</v>
      </c>
      <c r="D4">
        <f t="shared" si="0"/>
        <v>1</v>
      </c>
    </row>
    <row r="5" spans="1:5" x14ac:dyDescent="0.25">
      <c r="A5" t="s">
        <v>3</v>
      </c>
      <c r="B5">
        <v>276169.4375</v>
      </c>
      <c r="D5">
        <f t="shared" si="0"/>
        <v>1</v>
      </c>
    </row>
    <row r="6" spans="1:5" x14ac:dyDescent="0.25">
      <c r="A6" t="s">
        <v>4</v>
      </c>
      <c r="B6">
        <v>243046.46875</v>
      </c>
      <c r="D6">
        <f t="shared" si="0"/>
        <v>1</v>
      </c>
    </row>
    <row r="7" spans="1:5" x14ac:dyDescent="0.25">
      <c r="A7" t="s">
        <v>5</v>
      </c>
      <c r="B7">
        <v>204720.671875</v>
      </c>
      <c r="C7">
        <f>B7-(AVERAGE(B$2:B$6)+3*STDEV(B$2:B$6))</f>
        <v>-96077.495010878542</v>
      </c>
      <c r="D7">
        <f t="shared" si="0"/>
        <v>1</v>
      </c>
      <c r="E7">
        <f>IF(C7&gt;0, 1, 0)</f>
        <v>0</v>
      </c>
    </row>
    <row r="8" spans="1:5" x14ac:dyDescent="0.25">
      <c r="A8" t="s">
        <v>6</v>
      </c>
      <c r="B8">
        <v>208431.9375</v>
      </c>
      <c r="C8">
        <f t="shared" ref="C8:C14" si="1">B8-(AVERAGE(B$2:B$6)+3*STDEV(B$2:B$6))</f>
        <v>-92366.229385878542</v>
      </c>
      <c r="D8">
        <f t="shared" si="0"/>
        <v>1</v>
      </c>
      <c r="E8">
        <f t="shared" si="0"/>
        <v>0</v>
      </c>
    </row>
    <row r="9" spans="1:5" x14ac:dyDescent="0.25">
      <c r="A9" t="s">
        <v>7</v>
      </c>
      <c r="B9">
        <v>196465.875</v>
      </c>
      <c r="C9">
        <f t="shared" si="1"/>
        <v>-104332.29188587854</v>
      </c>
      <c r="D9">
        <f t="shared" si="0"/>
        <v>1</v>
      </c>
      <c r="E9">
        <f t="shared" si="0"/>
        <v>0</v>
      </c>
    </row>
    <row r="10" spans="1:5" x14ac:dyDescent="0.25">
      <c r="A10" t="s">
        <v>8</v>
      </c>
      <c r="B10">
        <v>280239.84375</v>
      </c>
      <c r="C10">
        <f t="shared" si="1"/>
        <v>-20558.323135878542</v>
      </c>
      <c r="D10">
        <f t="shared" si="0"/>
        <v>1</v>
      </c>
      <c r="E10">
        <f t="shared" si="0"/>
        <v>0</v>
      </c>
    </row>
    <row r="11" spans="1:5" x14ac:dyDescent="0.25">
      <c r="A11" t="s">
        <v>9</v>
      </c>
      <c r="B11">
        <v>279034.875</v>
      </c>
      <c r="C11">
        <f t="shared" si="1"/>
        <v>-21763.291885878542</v>
      </c>
      <c r="D11">
        <f t="shared" si="0"/>
        <v>1</v>
      </c>
      <c r="E11">
        <f t="shared" si="0"/>
        <v>0</v>
      </c>
    </row>
    <row r="12" spans="1:5" x14ac:dyDescent="0.25">
      <c r="A12" t="s">
        <v>10</v>
      </c>
      <c r="B12">
        <v>272495.46875</v>
      </c>
      <c r="C12">
        <f t="shared" si="1"/>
        <v>-28302.698135878542</v>
      </c>
      <c r="D12">
        <f t="shared" si="0"/>
        <v>1</v>
      </c>
      <c r="E12">
        <f t="shared" si="0"/>
        <v>0</v>
      </c>
    </row>
    <row r="13" spans="1:5" x14ac:dyDescent="0.25">
      <c r="A13" t="s">
        <v>11</v>
      </c>
      <c r="B13">
        <v>224961.9375</v>
      </c>
      <c r="C13">
        <f t="shared" si="1"/>
        <v>-75836.229385878542</v>
      </c>
      <c r="D13">
        <f t="shared" si="0"/>
        <v>1</v>
      </c>
      <c r="E13">
        <f t="shared" si="0"/>
        <v>0</v>
      </c>
    </row>
    <row r="14" spans="1:5" x14ac:dyDescent="0.25">
      <c r="A14" t="s">
        <v>12</v>
      </c>
      <c r="B14">
        <v>0</v>
      </c>
      <c r="C14">
        <f t="shared" si="1"/>
        <v>-300798.16688587854</v>
      </c>
      <c r="D14">
        <f t="shared" si="0"/>
        <v>0</v>
      </c>
      <c r="E14">
        <f t="shared" si="0"/>
        <v>0</v>
      </c>
    </row>
    <row r="16" spans="1:5" x14ac:dyDescent="0.25">
      <c r="D16">
        <f>SUM(D2:D14)/13 * 100</f>
        <v>92.307692307692307</v>
      </c>
      <c r="E16">
        <f>SUM(E7:E14)/8 * 100</f>
        <v>0</v>
      </c>
    </row>
    <row r="17" spans="2:2" x14ac:dyDescent="0.25">
      <c r="B17">
        <f>AVERAGE(B2:B14)</f>
        <v>225773.68629807694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7A9C-A327-434D-82A9-1F401F37251F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117939.7109375</v>
      </c>
      <c r="D2">
        <f>IF(B2&gt;0, 1, 0)</f>
        <v>1</v>
      </c>
    </row>
    <row r="3" spans="1:5" x14ac:dyDescent="0.25">
      <c r="A3" t="s">
        <v>1</v>
      </c>
      <c r="B3">
        <v>90538.5078125</v>
      </c>
      <c r="D3">
        <f t="shared" ref="D3:E14" si="0">IF(B3&gt;0, 1, 0)</f>
        <v>1</v>
      </c>
    </row>
    <row r="4" spans="1:5" x14ac:dyDescent="0.25">
      <c r="A4" t="s">
        <v>2</v>
      </c>
      <c r="B4">
        <v>119213.4921875</v>
      </c>
      <c r="D4">
        <f t="shared" si="0"/>
        <v>1</v>
      </c>
    </row>
    <row r="5" spans="1:5" x14ac:dyDescent="0.25">
      <c r="A5" t="s">
        <v>3</v>
      </c>
      <c r="B5">
        <v>102652.8359375</v>
      </c>
      <c r="D5">
        <f t="shared" si="0"/>
        <v>1</v>
      </c>
    </row>
    <row r="6" spans="1:5" x14ac:dyDescent="0.25">
      <c r="A6" t="s">
        <v>4</v>
      </c>
      <c r="B6">
        <v>76029.9609375</v>
      </c>
      <c r="D6">
        <f t="shared" si="0"/>
        <v>1</v>
      </c>
    </row>
    <row r="7" spans="1:5" x14ac:dyDescent="0.25">
      <c r="A7" t="s">
        <v>5</v>
      </c>
      <c r="B7">
        <v>165324.015625</v>
      </c>
      <c r="C7">
        <f>B7-(AVERAGE(B$2:B$6)+3*STDEV(B$2:B$6))</f>
        <v>8854.3156763353618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189902.265625</v>
      </c>
      <c r="C8">
        <f t="shared" ref="C8:C14" si="1">B8-(AVERAGE(B$2:B$6)+3*STDEV(B$2:B$6))</f>
        <v>33432.565676335362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174142.65625</v>
      </c>
      <c r="C9">
        <f t="shared" si="1"/>
        <v>17672.956301335362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200697.03125</v>
      </c>
      <c r="C10">
        <f t="shared" si="1"/>
        <v>44227.331301335362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196633.375</v>
      </c>
      <c r="C11">
        <f t="shared" si="1"/>
        <v>40163.675051335362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205772.234375</v>
      </c>
      <c r="C12">
        <f t="shared" si="1"/>
        <v>49302.534426335362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155182.109375</v>
      </c>
      <c r="C13">
        <f t="shared" si="1"/>
        <v>-1287.5905736646382</v>
      </c>
      <c r="D13">
        <f t="shared" si="0"/>
        <v>1</v>
      </c>
      <c r="E13">
        <f t="shared" si="0"/>
        <v>0</v>
      </c>
    </row>
    <row r="14" spans="1:5" x14ac:dyDescent="0.25">
      <c r="A14" t="s">
        <v>12</v>
      </c>
      <c r="B14">
        <v>166520.25</v>
      </c>
      <c r="C14">
        <f t="shared" si="1"/>
        <v>10050.550051335362</v>
      </c>
      <c r="D14">
        <f t="shared" si="0"/>
        <v>1</v>
      </c>
      <c r="E14">
        <f t="shared" si="0"/>
        <v>1</v>
      </c>
    </row>
    <row r="16" spans="1:5" x14ac:dyDescent="0.25">
      <c r="D16">
        <f>SUM(D2:D14)/13 * 100</f>
        <v>100</v>
      </c>
      <c r="E16">
        <f>SUM(E7:E14)/8 * 100</f>
        <v>87.5</v>
      </c>
    </row>
    <row r="17" spans="2:2" x14ac:dyDescent="0.25">
      <c r="B17">
        <f>AVERAGE(B2:B14)</f>
        <v>150811.41887019231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7656-548B-4995-87CD-0D0D8FF30CE7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17152.169921875</v>
      </c>
      <c r="D2">
        <f>IF(B2&gt;0, 1, 0)</f>
        <v>1</v>
      </c>
    </row>
    <row r="3" spans="1:5" x14ac:dyDescent="0.25">
      <c r="A3" t="s">
        <v>1</v>
      </c>
      <c r="B3">
        <v>5955.60595703125</v>
      </c>
      <c r="D3">
        <f t="shared" ref="D3:E14" si="0">IF(B3&gt;0, 1, 0)</f>
        <v>1</v>
      </c>
    </row>
    <row r="4" spans="1:5" x14ac:dyDescent="0.25">
      <c r="A4" t="s">
        <v>2</v>
      </c>
      <c r="B4">
        <v>23275.771484375</v>
      </c>
      <c r="D4">
        <f t="shared" si="0"/>
        <v>1</v>
      </c>
    </row>
    <row r="5" spans="1:5" x14ac:dyDescent="0.25">
      <c r="A5" t="s">
        <v>3</v>
      </c>
      <c r="B5">
        <v>4753.92431640625</v>
      </c>
      <c r="D5">
        <f t="shared" si="0"/>
        <v>1</v>
      </c>
    </row>
    <row r="6" spans="1:5" x14ac:dyDescent="0.25">
      <c r="A6" t="s">
        <v>4</v>
      </c>
      <c r="B6">
        <v>3248.32885742188</v>
      </c>
      <c r="D6">
        <f t="shared" si="0"/>
        <v>1</v>
      </c>
    </row>
    <row r="7" spans="1:5" x14ac:dyDescent="0.25">
      <c r="A7" t="s">
        <v>5</v>
      </c>
      <c r="B7">
        <v>135894.890625</v>
      </c>
      <c r="C7">
        <f>B7-(AVERAGE(B$2:B$6)+3*STDEV(B$2:B$6))</f>
        <v>98479.339398903685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152817.578125</v>
      </c>
      <c r="C8">
        <f t="shared" ref="C8:C14" si="1">B8-(AVERAGE(B$2:B$6)+3*STDEV(B$2:B$6))</f>
        <v>115402.02689890368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150685.15625</v>
      </c>
      <c r="C9">
        <f t="shared" si="1"/>
        <v>113269.60502390368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122257.328125</v>
      </c>
      <c r="C10">
        <f t="shared" si="1"/>
        <v>84841.776898903685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126132.1953125</v>
      </c>
      <c r="C11">
        <f t="shared" si="1"/>
        <v>88716.644086403685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124954.375</v>
      </c>
      <c r="C12">
        <f t="shared" si="1"/>
        <v>87538.823773903685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101616.5859375</v>
      </c>
      <c r="C13">
        <f t="shared" si="1"/>
        <v>64201.034711403678</v>
      </c>
      <c r="D13">
        <f t="shared" si="0"/>
        <v>1</v>
      </c>
      <c r="E13">
        <f t="shared" si="0"/>
        <v>1</v>
      </c>
    </row>
    <row r="14" spans="1:5" x14ac:dyDescent="0.25">
      <c r="A14" t="s">
        <v>12</v>
      </c>
      <c r="B14">
        <v>110730.0859375</v>
      </c>
      <c r="C14">
        <f t="shared" si="1"/>
        <v>73314.534711403685</v>
      </c>
      <c r="D14">
        <f t="shared" si="0"/>
        <v>1</v>
      </c>
      <c r="E14">
        <f t="shared" si="0"/>
        <v>1</v>
      </c>
    </row>
    <row r="16" spans="1:5" x14ac:dyDescent="0.25">
      <c r="D16">
        <f>SUM(D2:D14)/13 * 100</f>
        <v>100</v>
      </c>
      <c r="E16">
        <f>SUM(E7:E14)/8 * 100</f>
        <v>100</v>
      </c>
    </row>
    <row r="17" spans="2:2" x14ac:dyDescent="0.25">
      <c r="B17">
        <f>AVERAGE(B2:B14)</f>
        <v>83036.461219200719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3AAB-A9FF-4EF4-B2AE-EECC63B983AA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91456.8515625</v>
      </c>
      <c r="C7">
        <f>B7-(AVERAGE(B$2:B$6)+3*STDEV(B$2:B$6))</f>
        <v>91456.8515625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94876.3984375</v>
      </c>
      <c r="C8">
        <f t="shared" ref="C8:C14" si="1">B8-(AVERAGE(B$2:B$6)+3*STDEV(B$2:B$6))</f>
        <v>94876.3984375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109104.921875</v>
      </c>
      <c r="C9">
        <f t="shared" si="1"/>
        <v>109104.921875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98020.703125</v>
      </c>
      <c r="C10">
        <f t="shared" si="1"/>
        <v>98020.703125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94359.8671875</v>
      </c>
      <c r="C11">
        <f t="shared" si="1"/>
        <v>94359.8671875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94929.2421875</v>
      </c>
      <c r="C12">
        <f t="shared" si="1"/>
        <v>94929.2421875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74534.40625</v>
      </c>
      <c r="C13">
        <f t="shared" si="1"/>
        <v>74534.40625</v>
      </c>
      <c r="D13">
        <f t="shared" si="0"/>
        <v>1</v>
      </c>
      <c r="E13">
        <f t="shared" si="0"/>
        <v>1</v>
      </c>
    </row>
    <row r="14" spans="1:5" x14ac:dyDescent="0.25">
      <c r="A14" t="s">
        <v>12</v>
      </c>
      <c r="B14">
        <v>75661.1875</v>
      </c>
      <c r="C14">
        <f t="shared" si="1"/>
        <v>75661.1875</v>
      </c>
      <c r="D14">
        <f t="shared" si="0"/>
        <v>1</v>
      </c>
      <c r="E14">
        <f t="shared" si="0"/>
        <v>1</v>
      </c>
    </row>
    <row r="16" spans="1:5" x14ac:dyDescent="0.25">
      <c r="D16">
        <f>SUM(D2:D14)/13 * 100</f>
        <v>61.53846153846154</v>
      </c>
      <c r="E16">
        <f>SUM(E7:E14)/8 * 100</f>
        <v>100</v>
      </c>
    </row>
    <row r="17" spans="2:2" x14ac:dyDescent="0.25">
      <c r="B17">
        <f>AVERAGE(B2:B14)</f>
        <v>56380.275240384617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702F-DB95-45C9-A7DC-43D4DD61B859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301887.46875</v>
      </c>
      <c r="D2">
        <f>IF(B2&gt;0, 1, 0)</f>
        <v>1</v>
      </c>
    </row>
    <row r="3" spans="1:5" x14ac:dyDescent="0.25">
      <c r="A3" t="s">
        <v>1</v>
      </c>
      <c r="B3">
        <v>305612.21875</v>
      </c>
      <c r="D3">
        <f t="shared" ref="D3:E14" si="0">IF(B3&gt;0, 1, 0)</f>
        <v>1</v>
      </c>
    </row>
    <row r="4" spans="1:5" x14ac:dyDescent="0.25">
      <c r="A4" t="s">
        <v>2</v>
      </c>
      <c r="B4">
        <v>324150.84375</v>
      </c>
      <c r="D4">
        <f t="shared" si="0"/>
        <v>1</v>
      </c>
    </row>
    <row r="5" spans="1:5" x14ac:dyDescent="0.25">
      <c r="A5" t="s">
        <v>3</v>
      </c>
      <c r="B5">
        <v>326864.15625</v>
      </c>
      <c r="D5">
        <f t="shared" si="0"/>
        <v>1</v>
      </c>
    </row>
    <row r="6" spans="1:5" x14ac:dyDescent="0.25">
      <c r="A6" t="s">
        <v>4</v>
      </c>
      <c r="B6">
        <v>308804.53125</v>
      </c>
      <c r="D6">
        <f t="shared" si="0"/>
        <v>1</v>
      </c>
    </row>
    <row r="7" spans="1:5" x14ac:dyDescent="0.25">
      <c r="A7" t="s">
        <v>5</v>
      </c>
      <c r="B7">
        <v>267728.21875</v>
      </c>
      <c r="C7">
        <f>B7-(AVERAGE(B$2:B$6)+3*STDEV(B$2:B$6))</f>
        <v>-79648.565351597557</v>
      </c>
      <c r="D7">
        <f t="shared" si="0"/>
        <v>1</v>
      </c>
      <c r="E7">
        <f>IF(C7&gt;0, 1, 0)</f>
        <v>0</v>
      </c>
    </row>
    <row r="8" spans="1:5" x14ac:dyDescent="0.25">
      <c r="A8" t="s">
        <v>6</v>
      </c>
      <c r="B8">
        <v>283595.59375</v>
      </c>
      <c r="C8">
        <f t="shared" ref="C8:C14" si="1">B8-(AVERAGE(B$2:B$6)+3*STDEV(B$2:B$6))</f>
        <v>-63781.190351597557</v>
      </c>
      <c r="D8">
        <f t="shared" si="0"/>
        <v>1</v>
      </c>
      <c r="E8">
        <f t="shared" si="0"/>
        <v>0</v>
      </c>
    </row>
    <row r="9" spans="1:5" x14ac:dyDescent="0.25">
      <c r="A9" t="s">
        <v>7</v>
      </c>
      <c r="B9">
        <v>291409.71875</v>
      </c>
      <c r="C9">
        <f t="shared" si="1"/>
        <v>-55967.065351597557</v>
      </c>
      <c r="D9">
        <f t="shared" si="0"/>
        <v>1</v>
      </c>
      <c r="E9">
        <f t="shared" si="0"/>
        <v>0</v>
      </c>
    </row>
    <row r="10" spans="1:5" x14ac:dyDescent="0.25">
      <c r="A10" t="s">
        <v>8</v>
      </c>
      <c r="B10">
        <v>399029.3125</v>
      </c>
      <c r="C10">
        <f t="shared" si="1"/>
        <v>51652.528398402443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402732.09375</v>
      </c>
      <c r="C11">
        <f t="shared" si="1"/>
        <v>55355.309648402443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415069.1875</v>
      </c>
      <c r="C12">
        <f t="shared" si="1"/>
        <v>67692.403398402443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360931.28125</v>
      </c>
      <c r="C13">
        <f t="shared" si="1"/>
        <v>13554.497148402443</v>
      </c>
      <c r="D13">
        <f t="shared" si="0"/>
        <v>1</v>
      </c>
      <c r="E13">
        <f t="shared" si="0"/>
        <v>1</v>
      </c>
    </row>
    <row r="14" spans="1:5" x14ac:dyDescent="0.25">
      <c r="A14" t="s">
        <v>12</v>
      </c>
      <c r="B14">
        <v>358163.28125</v>
      </c>
      <c r="C14">
        <f t="shared" si="1"/>
        <v>10786.497148402443</v>
      </c>
      <c r="D14">
        <f t="shared" si="0"/>
        <v>1</v>
      </c>
      <c r="E14">
        <f t="shared" si="0"/>
        <v>1</v>
      </c>
    </row>
    <row r="16" spans="1:5" x14ac:dyDescent="0.25">
      <c r="D16">
        <f>SUM(D2:D14)/13 * 100</f>
        <v>100</v>
      </c>
      <c r="E16">
        <f>SUM(E7:E14)/8 * 100</f>
        <v>62.5</v>
      </c>
    </row>
    <row r="17" spans="2:2" x14ac:dyDescent="0.25">
      <c r="B17">
        <f>AVERAGE(B2:B14)</f>
        <v>334305.99278846156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2114-9CC7-4FFF-B55E-10618BA9BC61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396868.375</v>
      </c>
      <c r="D2">
        <f>IF(B2&gt;0, 1, 0)</f>
        <v>1</v>
      </c>
    </row>
    <row r="3" spans="1:5" x14ac:dyDescent="0.25">
      <c r="A3" t="s">
        <v>1</v>
      </c>
      <c r="B3">
        <v>415254.03125</v>
      </c>
      <c r="D3">
        <f t="shared" ref="D3:E14" si="0">IF(B3&gt;0, 1, 0)</f>
        <v>1</v>
      </c>
    </row>
    <row r="4" spans="1:5" x14ac:dyDescent="0.25">
      <c r="A4" t="s">
        <v>2</v>
      </c>
      <c r="B4">
        <v>417998.125</v>
      </c>
      <c r="D4">
        <f t="shared" si="0"/>
        <v>1</v>
      </c>
    </row>
    <row r="5" spans="1:5" x14ac:dyDescent="0.25">
      <c r="A5" t="s">
        <v>3</v>
      </c>
      <c r="B5">
        <v>461263.96875</v>
      </c>
      <c r="D5">
        <f t="shared" si="0"/>
        <v>1</v>
      </c>
    </row>
    <row r="6" spans="1:5" x14ac:dyDescent="0.25">
      <c r="A6" t="s">
        <v>4</v>
      </c>
      <c r="B6">
        <v>410883.0625</v>
      </c>
      <c r="D6">
        <f t="shared" si="0"/>
        <v>1</v>
      </c>
    </row>
    <row r="7" spans="1:5" x14ac:dyDescent="0.25">
      <c r="A7" t="s">
        <v>5</v>
      </c>
      <c r="B7">
        <v>267855.625</v>
      </c>
      <c r="C7">
        <f>B7-(AVERAGE(B$2:B$6)+3*STDEV(B$2:B$6))</f>
        <v>-225257.50810915342</v>
      </c>
      <c r="D7">
        <f t="shared" si="0"/>
        <v>1</v>
      </c>
      <c r="E7">
        <f>IF(C7&gt;0, 1, 0)</f>
        <v>0</v>
      </c>
    </row>
    <row r="8" spans="1:5" x14ac:dyDescent="0.25">
      <c r="A8" t="s">
        <v>6</v>
      </c>
      <c r="B8">
        <v>283538.5</v>
      </c>
      <c r="C8">
        <f t="shared" ref="C8:C14" si="1">B8-(AVERAGE(B$2:B$6)+3*STDEV(B$2:B$6))</f>
        <v>-209574.63310915342</v>
      </c>
      <c r="D8">
        <f t="shared" si="0"/>
        <v>1</v>
      </c>
      <c r="E8">
        <f t="shared" si="0"/>
        <v>0</v>
      </c>
    </row>
    <row r="9" spans="1:5" x14ac:dyDescent="0.25">
      <c r="A9" t="s">
        <v>7</v>
      </c>
      <c r="B9">
        <v>294003.78125</v>
      </c>
      <c r="C9">
        <f t="shared" si="1"/>
        <v>-199109.35185915342</v>
      </c>
      <c r="D9">
        <f t="shared" si="0"/>
        <v>1</v>
      </c>
      <c r="E9">
        <f t="shared" si="0"/>
        <v>0</v>
      </c>
    </row>
    <row r="10" spans="1:5" x14ac:dyDescent="0.25">
      <c r="A10" t="s">
        <v>8</v>
      </c>
      <c r="B10">
        <v>475754.34375</v>
      </c>
      <c r="C10">
        <f t="shared" si="1"/>
        <v>-17358.789359153423</v>
      </c>
      <c r="D10">
        <f t="shared" si="0"/>
        <v>1</v>
      </c>
      <c r="E10">
        <f t="shared" si="0"/>
        <v>0</v>
      </c>
    </row>
    <row r="11" spans="1:5" x14ac:dyDescent="0.25">
      <c r="A11" t="s">
        <v>9</v>
      </c>
      <c r="B11">
        <v>467018.25</v>
      </c>
      <c r="C11">
        <f t="shared" si="1"/>
        <v>-26094.883109153423</v>
      </c>
      <c r="D11">
        <f t="shared" si="0"/>
        <v>1</v>
      </c>
      <c r="E11">
        <f t="shared" si="0"/>
        <v>0</v>
      </c>
    </row>
    <row r="12" spans="1:5" x14ac:dyDescent="0.25">
      <c r="A12" t="s">
        <v>10</v>
      </c>
      <c r="B12">
        <v>489321.4375</v>
      </c>
      <c r="C12">
        <f t="shared" si="1"/>
        <v>-3791.695609153423</v>
      </c>
      <c r="D12">
        <f t="shared" si="0"/>
        <v>1</v>
      </c>
      <c r="E12">
        <f t="shared" si="0"/>
        <v>0</v>
      </c>
    </row>
    <row r="13" spans="1:5" x14ac:dyDescent="0.25">
      <c r="A13" t="s">
        <v>11</v>
      </c>
      <c r="B13">
        <v>429151.4375</v>
      </c>
      <c r="C13">
        <f t="shared" si="1"/>
        <v>-63961.695609153423</v>
      </c>
      <c r="D13">
        <f t="shared" si="0"/>
        <v>1</v>
      </c>
      <c r="E13">
        <f t="shared" si="0"/>
        <v>0</v>
      </c>
    </row>
    <row r="14" spans="1:5" x14ac:dyDescent="0.25">
      <c r="A14" t="s">
        <v>12</v>
      </c>
      <c r="B14">
        <v>409255.90625</v>
      </c>
      <c r="C14">
        <f t="shared" si="1"/>
        <v>-83857.226859153423</v>
      </c>
      <c r="D14">
        <f t="shared" si="0"/>
        <v>1</v>
      </c>
      <c r="E14">
        <f t="shared" si="0"/>
        <v>0</v>
      </c>
    </row>
    <row r="16" spans="1:5" x14ac:dyDescent="0.25">
      <c r="D16">
        <f>SUM(D2:D14)/13 * 100</f>
        <v>100</v>
      </c>
      <c r="E16">
        <f>SUM(E7:E14)/8 * 100</f>
        <v>0</v>
      </c>
    </row>
    <row r="17" spans="2:2" x14ac:dyDescent="0.25">
      <c r="B17">
        <f>AVERAGE(B2:B14)</f>
        <v>401397.44951923075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25ADD-E692-4E9B-BF44-A7A22DF69FFD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437221.5</v>
      </c>
      <c r="D2">
        <f>IF(B2&gt;0, 1, 0)</f>
        <v>1</v>
      </c>
    </row>
    <row r="3" spans="1:5" x14ac:dyDescent="0.25">
      <c r="A3" t="s">
        <v>1</v>
      </c>
      <c r="B3">
        <v>426584.125</v>
      </c>
      <c r="D3">
        <f t="shared" ref="D3:E14" si="0">IF(B3&gt;0, 1, 0)</f>
        <v>1</v>
      </c>
    </row>
    <row r="4" spans="1:5" x14ac:dyDescent="0.25">
      <c r="A4" t="s">
        <v>2</v>
      </c>
      <c r="B4">
        <v>417123.96875</v>
      </c>
      <c r="D4">
        <f t="shared" si="0"/>
        <v>1</v>
      </c>
    </row>
    <row r="5" spans="1:5" x14ac:dyDescent="0.25">
      <c r="A5" t="s">
        <v>3</v>
      </c>
      <c r="B5">
        <v>495585.375</v>
      </c>
      <c r="D5">
        <f t="shared" si="0"/>
        <v>1</v>
      </c>
    </row>
    <row r="6" spans="1:5" x14ac:dyDescent="0.25">
      <c r="A6" t="s">
        <v>4</v>
      </c>
      <c r="B6">
        <v>383140.6875</v>
      </c>
      <c r="D6">
        <f t="shared" si="0"/>
        <v>1</v>
      </c>
    </row>
    <row r="7" spans="1:5" x14ac:dyDescent="0.25">
      <c r="A7" t="s">
        <v>5</v>
      </c>
      <c r="B7">
        <v>258072.6875</v>
      </c>
      <c r="C7">
        <f>B7-(AVERAGE(B$2:B$6)+3*STDEV(B$2:B$6))</f>
        <v>-296713.85285579215</v>
      </c>
      <c r="D7">
        <f t="shared" si="0"/>
        <v>1</v>
      </c>
      <c r="E7">
        <f>IF(C7&gt;0, 1, 0)</f>
        <v>0</v>
      </c>
    </row>
    <row r="8" spans="1:5" x14ac:dyDescent="0.25">
      <c r="A8" t="s">
        <v>6</v>
      </c>
      <c r="B8">
        <v>280129.25</v>
      </c>
      <c r="C8">
        <f t="shared" ref="C8:C14" si="1">B8-(AVERAGE(B$2:B$6)+3*STDEV(B$2:B$6))</f>
        <v>-274657.29035579215</v>
      </c>
      <c r="D8">
        <f t="shared" si="0"/>
        <v>1</v>
      </c>
      <c r="E8">
        <f t="shared" si="0"/>
        <v>0</v>
      </c>
    </row>
    <row r="9" spans="1:5" x14ac:dyDescent="0.25">
      <c r="A9" t="s">
        <v>7</v>
      </c>
      <c r="B9">
        <v>275756.5625</v>
      </c>
      <c r="C9">
        <f t="shared" si="1"/>
        <v>-279029.97785579215</v>
      </c>
      <c r="D9">
        <f t="shared" si="0"/>
        <v>1</v>
      </c>
      <c r="E9">
        <f t="shared" si="0"/>
        <v>0</v>
      </c>
    </row>
    <row r="10" spans="1:5" x14ac:dyDescent="0.25">
      <c r="A10" t="s">
        <v>8</v>
      </c>
      <c r="B10">
        <v>425986.25</v>
      </c>
      <c r="C10">
        <f t="shared" si="1"/>
        <v>-128800.29035579215</v>
      </c>
      <c r="D10">
        <f t="shared" si="0"/>
        <v>1</v>
      </c>
      <c r="E10">
        <f t="shared" si="0"/>
        <v>0</v>
      </c>
    </row>
    <row r="11" spans="1:5" x14ac:dyDescent="0.25">
      <c r="A11" t="s">
        <v>9</v>
      </c>
      <c r="B11">
        <v>422230.40625</v>
      </c>
      <c r="C11">
        <f t="shared" si="1"/>
        <v>-132556.13410579215</v>
      </c>
      <c r="D11">
        <f t="shared" si="0"/>
        <v>1</v>
      </c>
      <c r="E11">
        <f t="shared" si="0"/>
        <v>0</v>
      </c>
    </row>
    <row r="12" spans="1:5" x14ac:dyDescent="0.25">
      <c r="A12" t="s">
        <v>10</v>
      </c>
      <c r="B12">
        <v>434347.6875</v>
      </c>
      <c r="C12">
        <f t="shared" si="1"/>
        <v>-120438.85285579215</v>
      </c>
      <c r="D12">
        <f t="shared" si="0"/>
        <v>1</v>
      </c>
      <c r="E12">
        <f t="shared" si="0"/>
        <v>0</v>
      </c>
    </row>
    <row r="13" spans="1:5" x14ac:dyDescent="0.25">
      <c r="A13" t="s">
        <v>11</v>
      </c>
      <c r="B13">
        <v>323844.8125</v>
      </c>
      <c r="C13">
        <f t="shared" si="1"/>
        <v>-230941.72785579215</v>
      </c>
      <c r="D13">
        <f t="shared" si="0"/>
        <v>1</v>
      </c>
      <c r="E13">
        <f t="shared" si="0"/>
        <v>0</v>
      </c>
    </row>
    <row r="14" spans="1:5" x14ac:dyDescent="0.25">
      <c r="A14" t="s">
        <v>12</v>
      </c>
      <c r="B14">
        <v>346926.5625</v>
      </c>
      <c r="C14">
        <f t="shared" si="1"/>
        <v>-207859.97785579215</v>
      </c>
      <c r="D14">
        <f t="shared" si="0"/>
        <v>1</v>
      </c>
      <c r="E14">
        <f t="shared" si="0"/>
        <v>0</v>
      </c>
    </row>
    <row r="16" spans="1:5" x14ac:dyDescent="0.25">
      <c r="D16">
        <f>SUM(D2:D14)/13 * 100</f>
        <v>100</v>
      </c>
      <c r="E16">
        <f>SUM(E7:E14)/8 * 100</f>
        <v>0</v>
      </c>
    </row>
    <row r="17" spans="2:2" x14ac:dyDescent="0.25">
      <c r="B17">
        <f>AVERAGE(B2:B14)</f>
        <v>378996.14423076925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ACEF-C31B-4520-BB8D-9BD352F73449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526961.9375</v>
      </c>
      <c r="C7">
        <f>B7-(AVERAGE(B$2:B$6)+3*STDEV(B$2:B$6))</f>
        <v>526961.9375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567003.0625</v>
      </c>
      <c r="C8">
        <f t="shared" ref="C8:C14" si="1">B8-(AVERAGE(B$2:B$6)+3*STDEV(B$2:B$6))</f>
        <v>567003.0625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544279.4375</v>
      </c>
      <c r="C9">
        <f t="shared" si="1"/>
        <v>544279.4375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562823.3125</v>
      </c>
      <c r="C10">
        <f t="shared" si="1"/>
        <v>562823.3125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568825.75</v>
      </c>
      <c r="C11">
        <f t="shared" si="1"/>
        <v>568825.75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573004.1875</v>
      </c>
      <c r="C12">
        <f t="shared" si="1"/>
        <v>573004.1875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458492.1875</v>
      </c>
      <c r="C13">
        <f t="shared" si="1"/>
        <v>458492.1875</v>
      </c>
      <c r="D13">
        <f t="shared" si="0"/>
        <v>1</v>
      </c>
      <c r="E13">
        <f t="shared" si="0"/>
        <v>1</v>
      </c>
    </row>
    <row r="14" spans="1:5" x14ac:dyDescent="0.25">
      <c r="A14" t="s">
        <v>12</v>
      </c>
      <c r="B14">
        <v>483568.53125</v>
      </c>
      <c r="C14">
        <f t="shared" si="1"/>
        <v>483568.53125</v>
      </c>
      <c r="D14">
        <f t="shared" si="0"/>
        <v>1</v>
      </c>
      <c r="E14">
        <f t="shared" si="0"/>
        <v>1</v>
      </c>
    </row>
    <row r="16" spans="1:5" x14ac:dyDescent="0.25">
      <c r="D16">
        <f>SUM(D2:D14)/13 * 100</f>
        <v>61.53846153846154</v>
      </c>
      <c r="E16">
        <f>SUM(E7:E14)/8 * 100</f>
        <v>100</v>
      </c>
    </row>
    <row r="17" spans="2:2" x14ac:dyDescent="0.25">
      <c r="B17">
        <f>AVERAGE(B2:B14)</f>
        <v>329612.18509615387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39E7-1E6C-4418-AD0B-19BDD32B1F7A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219022.5</v>
      </c>
      <c r="D2">
        <f>IF(B2&gt;0, 1, 0)</f>
        <v>1</v>
      </c>
    </row>
    <row r="3" spans="1:5" x14ac:dyDescent="0.25">
      <c r="A3" t="s">
        <v>1</v>
      </c>
      <c r="B3">
        <v>170574.703125</v>
      </c>
      <c r="D3">
        <f t="shared" ref="D3:E14" si="0">IF(B3&gt;0, 1, 0)</f>
        <v>1</v>
      </c>
    </row>
    <row r="4" spans="1:5" x14ac:dyDescent="0.25">
      <c r="A4" t="s">
        <v>2</v>
      </c>
      <c r="B4">
        <v>135890.40625</v>
      </c>
      <c r="D4">
        <f t="shared" si="0"/>
        <v>1</v>
      </c>
    </row>
    <row r="5" spans="1:5" x14ac:dyDescent="0.25">
      <c r="A5" t="s">
        <v>3</v>
      </c>
      <c r="B5">
        <v>138744.1875</v>
      </c>
      <c r="D5">
        <f t="shared" si="0"/>
        <v>1</v>
      </c>
    </row>
    <row r="6" spans="1:5" x14ac:dyDescent="0.25">
      <c r="A6" t="s">
        <v>4</v>
      </c>
      <c r="B6">
        <v>112022.8984375</v>
      </c>
      <c r="D6">
        <f t="shared" si="0"/>
        <v>1</v>
      </c>
    </row>
    <row r="7" spans="1:5" x14ac:dyDescent="0.25">
      <c r="A7" t="s">
        <v>5</v>
      </c>
      <c r="B7">
        <v>148701.03125</v>
      </c>
      <c r="C7">
        <f>B7-(AVERAGE(B$2:B$6)+3*STDEV(B$2:B$6))</f>
        <v>-130403.0130752424</v>
      </c>
      <c r="D7">
        <f t="shared" si="0"/>
        <v>1</v>
      </c>
      <c r="E7">
        <f>IF(C7&gt;0, 1, 0)</f>
        <v>0</v>
      </c>
    </row>
    <row r="8" spans="1:5" x14ac:dyDescent="0.25">
      <c r="A8" t="s">
        <v>6</v>
      </c>
      <c r="B8">
        <v>158603.9375</v>
      </c>
      <c r="C8">
        <f t="shared" ref="C8:C14" si="1">B8-(AVERAGE(B$2:B$6)+3*STDEV(B$2:B$6))</f>
        <v>-120500.1068252424</v>
      </c>
      <c r="D8">
        <f t="shared" si="0"/>
        <v>1</v>
      </c>
      <c r="E8">
        <f t="shared" si="0"/>
        <v>0</v>
      </c>
    </row>
    <row r="9" spans="1:5" x14ac:dyDescent="0.25">
      <c r="A9" t="s">
        <v>7</v>
      </c>
      <c r="B9">
        <v>158604.625</v>
      </c>
      <c r="C9">
        <f t="shared" si="1"/>
        <v>-120499.4193252424</v>
      </c>
      <c r="D9">
        <f t="shared" si="0"/>
        <v>1</v>
      </c>
      <c r="E9">
        <f t="shared" si="0"/>
        <v>0</v>
      </c>
    </row>
    <row r="10" spans="1:5" x14ac:dyDescent="0.25">
      <c r="A10" t="s">
        <v>8</v>
      </c>
      <c r="B10">
        <v>195174.96875</v>
      </c>
      <c r="C10">
        <f t="shared" si="1"/>
        <v>-83929.075575242401</v>
      </c>
      <c r="D10">
        <f t="shared" si="0"/>
        <v>1</v>
      </c>
      <c r="E10">
        <f t="shared" si="0"/>
        <v>0</v>
      </c>
    </row>
    <row r="11" spans="1:5" x14ac:dyDescent="0.25">
      <c r="A11" t="s">
        <v>9</v>
      </c>
      <c r="B11">
        <v>206578.578125</v>
      </c>
      <c r="C11">
        <f t="shared" si="1"/>
        <v>-72525.466200242401</v>
      </c>
      <c r="D11">
        <f t="shared" si="0"/>
        <v>1</v>
      </c>
      <c r="E11">
        <f t="shared" si="0"/>
        <v>0</v>
      </c>
    </row>
    <row r="12" spans="1:5" x14ac:dyDescent="0.25">
      <c r="A12" t="s">
        <v>10</v>
      </c>
      <c r="B12">
        <v>208988.828125</v>
      </c>
      <c r="C12">
        <f t="shared" si="1"/>
        <v>-70115.216200242401</v>
      </c>
      <c r="D12">
        <f t="shared" si="0"/>
        <v>1</v>
      </c>
      <c r="E12">
        <f t="shared" si="0"/>
        <v>0</v>
      </c>
    </row>
    <row r="13" spans="1:5" x14ac:dyDescent="0.25">
      <c r="A13" t="s">
        <v>11</v>
      </c>
      <c r="B13">
        <v>163025.5625</v>
      </c>
      <c r="C13">
        <f t="shared" si="1"/>
        <v>-116078.4818252424</v>
      </c>
      <c r="D13">
        <f t="shared" si="0"/>
        <v>1</v>
      </c>
      <c r="E13">
        <f t="shared" si="0"/>
        <v>0</v>
      </c>
    </row>
    <row r="14" spans="1:5" x14ac:dyDescent="0.25">
      <c r="A14" t="s">
        <v>12</v>
      </c>
      <c r="B14">
        <v>170384.828125</v>
      </c>
      <c r="C14">
        <f t="shared" si="1"/>
        <v>-108719.2162002424</v>
      </c>
      <c r="D14">
        <f t="shared" si="0"/>
        <v>1</v>
      </c>
      <c r="E14">
        <f t="shared" si="0"/>
        <v>0</v>
      </c>
    </row>
    <row r="16" spans="1:5" x14ac:dyDescent="0.25">
      <c r="D16">
        <f>SUM(D2:D14)/13 * 100</f>
        <v>100</v>
      </c>
      <c r="E16">
        <f>SUM(E7:E14)/8 * 100</f>
        <v>0</v>
      </c>
    </row>
    <row r="17" spans="2:2" x14ac:dyDescent="0.25">
      <c r="B17">
        <f>AVERAGE(B2:B14)</f>
        <v>168178.23497596153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29FB-8BBF-4EA6-A579-13A41474DE88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131899.28125</v>
      </c>
      <c r="D2">
        <f>IF(B2&gt;0, 1, 0)</f>
        <v>1</v>
      </c>
    </row>
    <row r="3" spans="1:5" x14ac:dyDescent="0.25">
      <c r="A3" t="s">
        <v>1</v>
      </c>
      <c r="B3">
        <v>94481.0078125</v>
      </c>
      <c r="D3">
        <f t="shared" ref="D3:E14" si="0">IF(B3&gt;0, 1, 0)</f>
        <v>1</v>
      </c>
    </row>
    <row r="4" spans="1:5" x14ac:dyDescent="0.25">
      <c r="A4" t="s">
        <v>2</v>
      </c>
      <c r="B4">
        <v>72485.0390625</v>
      </c>
      <c r="D4">
        <f t="shared" si="0"/>
        <v>1</v>
      </c>
    </row>
    <row r="5" spans="1:5" x14ac:dyDescent="0.25">
      <c r="A5" t="s">
        <v>3</v>
      </c>
      <c r="B5">
        <v>62117.51953125</v>
      </c>
      <c r="D5">
        <f t="shared" si="0"/>
        <v>1</v>
      </c>
    </row>
    <row r="6" spans="1:5" x14ac:dyDescent="0.25">
      <c r="A6" t="s">
        <v>4</v>
      </c>
      <c r="B6">
        <v>51465.9453125</v>
      </c>
      <c r="D6">
        <f t="shared" si="0"/>
        <v>1</v>
      </c>
    </row>
    <row r="7" spans="1:5" x14ac:dyDescent="0.25">
      <c r="A7" t="s">
        <v>5</v>
      </c>
      <c r="B7">
        <v>125120.203125</v>
      </c>
      <c r="C7">
        <f>B7-(AVERAGE(B$2:B$6)+3*STDEV(B$2:B$6))</f>
        <v>-52978.413103592524</v>
      </c>
      <c r="D7">
        <f t="shared" si="0"/>
        <v>1</v>
      </c>
      <c r="E7">
        <f>IF(C7&gt;0, 1, 0)</f>
        <v>0</v>
      </c>
    </row>
    <row r="8" spans="1:5" x14ac:dyDescent="0.25">
      <c r="A8" t="s">
        <v>6</v>
      </c>
      <c r="B8">
        <v>129989.875</v>
      </c>
      <c r="C8">
        <f t="shared" ref="C8:C14" si="1">B8-(AVERAGE(B$2:B$6)+3*STDEV(B$2:B$6))</f>
        <v>-48108.741228592524</v>
      </c>
      <c r="D8">
        <f t="shared" si="0"/>
        <v>1</v>
      </c>
      <c r="E8">
        <f t="shared" si="0"/>
        <v>0</v>
      </c>
    </row>
    <row r="9" spans="1:5" x14ac:dyDescent="0.25">
      <c r="A9" t="s">
        <v>7</v>
      </c>
      <c r="B9">
        <v>131371.203125</v>
      </c>
      <c r="C9">
        <f t="shared" si="1"/>
        <v>-46727.413103592524</v>
      </c>
      <c r="D9">
        <f t="shared" si="0"/>
        <v>1</v>
      </c>
      <c r="E9">
        <f t="shared" si="0"/>
        <v>0</v>
      </c>
    </row>
    <row r="10" spans="1:5" x14ac:dyDescent="0.25">
      <c r="A10" t="s">
        <v>8</v>
      </c>
      <c r="B10">
        <v>169113.375</v>
      </c>
      <c r="C10">
        <f t="shared" si="1"/>
        <v>-8985.2412285925238</v>
      </c>
      <c r="D10">
        <f t="shared" si="0"/>
        <v>1</v>
      </c>
      <c r="E10">
        <f t="shared" si="0"/>
        <v>0</v>
      </c>
    </row>
    <row r="11" spans="1:5" x14ac:dyDescent="0.25">
      <c r="A11" t="s">
        <v>9</v>
      </c>
      <c r="B11">
        <v>168262.734375</v>
      </c>
      <c r="C11">
        <f t="shared" si="1"/>
        <v>-9835.8818535925238</v>
      </c>
      <c r="D11">
        <f t="shared" si="0"/>
        <v>1</v>
      </c>
      <c r="E11">
        <f t="shared" si="0"/>
        <v>0</v>
      </c>
    </row>
    <row r="12" spans="1:5" x14ac:dyDescent="0.25">
      <c r="A12" t="s">
        <v>10</v>
      </c>
      <c r="B12">
        <v>171847.15625</v>
      </c>
      <c r="C12">
        <f t="shared" si="1"/>
        <v>-6251.4599785925238</v>
      </c>
      <c r="D12">
        <f t="shared" si="0"/>
        <v>1</v>
      </c>
      <c r="E12">
        <f t="shared" si="0"/>
        <v>0</v>
      </c>
    </row>
    <row r="13" spans="1:5" x14ac:dyDescent="0.25">
      <c r="A13" t="s">
        <v>11</v>
      </c>
      <c r="B13">
        <v>131469.546875</v>
      </c>
      <c r="C13">
        <f t="shared" si="1"/>
        <v>-46629.069353592524</v>
      </c>
      <c r="D13">
        <f t="shared" si="0"/>
        <v>1</v>
      </c>
      <c r="E13">
        <f t="shared" si="0"/>
        <v>0</v>
      </c>
    </row>
    <row r="14" spans="1:5" x14ac:dyDescent="0.25">
      <c r="A14" t="s">
        <v>12</v>
      </c>
      <c r="B14">
        <v>146564.125</v>
      </c>
      <c r="C14">
        <f t="shared" si="1"/>
        <v>-31534.491228592524</v>
      </c>
      <c r="D14">
        <f t="shared" si="0"/>
        <v>1</v>
      </c>
      <c r="E14">
        <f t="shared" si="0"/>
        <v>0</v>
      </c>
    </row>
    <row r="16" spans="1:5" x14ac:dyDescent="0.25">
      <c r="D16">
        <f>SUM(D2:D14)/13 * 100</f>
        <v>100</v>
      </c>
      <c r="E16">
        <f>SUM(E7:E14)/8 * 100</f>
        <v>0</v>
      </c>
    </row>
    <row r="17" spans="2:2" x14ac:dyDescent="0.25">
      <c r="B17">
        <f>AVERAGE(B2:B14)</f>
        <v>122014.38551682692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871B-9883-459F-A739-FCC6C13F8FA3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187706.484375</v>
      </c>
      <c r="C7">
        <f>B7-(AVERAGE(B$2:B$6)+3*STDEV(B$2:B$6))</f>
        <v>187706.484375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205587.578125</v>
      </c>
      <c r="C8">
        <f t="shared" ref="C8:C14" si="1">B8-(AVERAGE(B$2:B$6)+3*STDEV(B$2:B$6))</f>
        <v>205587.578125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209853.921875</v>
      </c>
      <c r="C9">
        <f t="shared" si="1"/>
        <v>209853.921875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155630.609375</v>
      </c>
      <c r="C10">
        <f t="shared" si="1"/>
        <v>155630.609375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158113.703125</v>
      </c>
      <c r="C11">
        <f t="shared" si="1"/>
        <v>158113.703125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166474.453125</v>
      </c>
      <c r="C12">
        <f t="shared" si="1"/>
        <v>166474.453125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108940.796875</v>
      </c>
      <c r="C13">
        <f t="shared" si="1"/>
        <v>108940.796875</v>
      </c>
      <c r="D13">
        <f t="shared" si="0"/>
        <v>1</v>
      </c>
      <c r="E13">
        <f t="shared" si="0"/>
        <v>1</v>
      </c>
    </row>
    <row r="14" spans="1:5" x14ac:dyDescent="0.25">
      <c r="A14" t="s">
        <v>12</v>
      </c>
      <c r="B14">
        <v>114649.5703125</v>
      </c>
      <c r="C14">
        <f t="shared" si="1"/>
        <v>114649.5703125</v>
      </c>
      <c r="D14">
        <f t="shared" si="0"/>
        <v>1</v>
      </c>
      <c r="E14">
        <f t="shared" si="0"/>
        <v>1</v>
      </c>
    </row>
    <row r="16" spans="1:5" x14ac:dyDescent="0.25">
      <c r="D16">
        <f>SUM(D2:D14)/13 * 100</f>
        <v>61.53846153846154</v>
      </c>
      <c r="E16">
        <f>SUM(E7:E14)/8 * 100</f>
        <v>100</v>
      </c>
    </row>
    <row r="17" spans="2:2" x14ac:dyDescent="0.25">
      <c r="B17">
        <f>AVERAGE(B2:B14)</f>
        <v>100535.16286057692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641A-1897-4727-B1AE-AC33B1EDBECC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3545.08740234375</v>
      </c>
      <c r="D3">
        <f t="shared" ref="D3:E14" si="0">IF(B3&gt;0, 1, 0)</f>
        <v>1</v>
      </c>
    </row>
    <row r="4" spans="1:5" x14ac:dyDescent="0.25">
      <c r="A4" t="s">
        <v>2</v>
      </c>
      <c r="B4">
        <v>4456.2578125</v>
      </c>
      <c r="D4">
        <f t="shared" si="0"/>
        <v>1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4071.96508789063</v>
      </c>
      <c r="C7">
        <f>B7-(AVERAGE(B$2:B$6)+3*STDEV(B$2:B$6))</f>
        <v>-4172.7407256164515</v>
      </c>
      <c r="D7">
        <f t="shared" si="0"/>
        <v>1</v>
      </c>
      <c r="E7">
        <f>IF(C7&gt;0, 1, 0)</f>
        <v>0</v>
      </c>
    </row>
    <row r="8" spans="1:5" x14ac:dyDescent="0.25">
      <c r="A8" t="s">
        <v>6</v>
      </c>
      <c r="B8">
        <v>3801.958984375</v>
      </c>
      <c r="C8">
        <f t="shared" ref="C8:C14" si="1">B8-(AVERAGE(B$2:B$6)+3*STDEV(B$2:B$6))</f>
        <v>-4442.746829132082</v>
      </c>
      <c r="D8">
        <f t="shared" si="0"/>
        <v>1</v>
      </c>
      <c r="E8">
        <f t="shared" si="0"/>
        <v>0</v>
      </c>
    </row>
    <row r="9" spans="1:5" x14ac:dyDescent="0.25">
      <c r="A9" t="s">
        <v>7</v>
      </c>
      <c r="B9">
        <v>5507.90771484375</v>
      </c>
      <c r="C9">
        <f t="shared" si="1"/>
        <v>-2736.798098663332</v>
      </c>
      <c r="D9">
        <f t="shared" si="0"/>
        <v>1</v>
      </c>
      <c r="E9">
        <f t="shared" si="0"/>
        <v>0</v>
      </c>
    </row>
    <row r="10" spans="1:5" x14ac:dyDescent="0.25">
      <c r="A10" t="s">
        <v>8</v>
      </c>
      <c r="B10">
        <v>11862.3447265625</v>
      </c>
      <c r="C10">
        <f t="shared" si="1"/>
        <v>3617.638913055418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10569.361328125</v>
      </c>
      <c r="C11">
        <f t="shared" si="1"/>
        <v>2324.655514617918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0</v>
      </c>
      <c r="C12">
        <f t="shared" si="1"/>
        <v>-8244.705813507082</v>
      </c>
      <c r="D12">
        <f t="shared" si="0"/>
        <v>0</v>
      </c>
      <c r="E12">
        <f t="shared" si="0"/>
        <v>0</v>
      </c>
    </row>
    <row r="13" spans="1:5" x14ac:dyDescent="0.25">
      <c r="A13" t="s">
        <v>11</v>
      </c>
      <c r="B13">
        <v>0</v>
      </c>
      <c r="C13">
        <f t="shared" si="1"/>
        <v>-8244.705813507082</v>
      </c>
      <c r="D13">
        <f t="shared" si="0"/>
        <v>0</v>
      </c>
      <c r="E13">
        <f t="shared" si="0"/>
        <v>0</v>
      </c>
    </row>
    <row r="14" spans="1:5" x14ac:dyDescent="0.25">
      <c r="A14" t="s">
        <v>12</v>
      </c>
      <c r="B14">
        <v>5866.3212890625</v>
      </c>
      <c r="C14">
        <f t="shared" si="1"/>
        <v>-2378.384524444582</v>
      </c>
      <c r="D14">
        <f t="shared" si="0"/>
        <v>1</v>
      </c>
      <c r="E14">
        <f t="shared" si="0"/>
        <v>0</v>
      </c>
    </row>
    <row r="16" spans="1:5" x14ac:dyDescent="0.25">
      <c r="D16">
        <f>SUM(D2:D14)/13 * 100</f>
        <v>61.53846153846154</v>
      </c>
      <c r="E16">
        <f>SUM(E7:E14)/8 * 100</f>
        <v>25</v>
      </c>
    </row>
    <row r="17" spans="2:2" x14ac:dyDescent="0.25">
      <c r="B17">
        <f>AVERAGE(B2:B14)</f>
        <v>3821.6311035156255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2D4D-F8BC-42E6-BE96-4564CFFDEC00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115085.546875</v>
      </c>
      <c r="C7">
        <f>B7-(AVERAGE(B$2:B$6)+3*STDEV(B$2:B$6))</f>
        <v>115085.546875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137038.75</v>
      </c>
      <c r="C8">
        <f t="shared" ref="C8:C14" si="1">B8-(AVERAGE(B$2:B$6)+3*STDEV(B$2:B$6))</f>
        <v>137038.75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134307.609375</v>
      </c>
      <c r="C9">
        <f t="shared" si="1"/>
        <v>134307.609375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113133.140625</v>
      </c>
      <c r="C10">
        <f t="shared" si="1"/>
        <v>113133.140625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102428.7265625</v>
      </c>
      <c r="C11">
        <f t="shared" si="1"/>
        <v>102428.7265625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113548.4609375</v>
      </c>
      <c r="C12">
        <f t="shared" si="1"/>
        <v>113548.4609375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58813.34375</v>
      </c>
      <c r="C13">
        <f t="shared" si="1"/>
        <v>58813.34375</v>
      </c>
      <c r="D13">
        <f t="shared" si="0"/>
        <v>1</v>
      </c>
      <c r="E13">
        <f t="shared" si="0"/>
        <v>1</v>
      </c>
    </row>
    <row r="14" spans="1:5" x14ac:dyDescent="0.25">
      <c r="A14" t="s">
        <v>12</v>
      </c>
      <c r="B14">
        <v>67950.8125</v>
      </c>
      <c r="C14">
        <f t="shared" si="1"/>
        <v>67950.8125</v>
      </c>
      <c r="D14">
        <f t="shared" si="0"/>
        <v>1</v>
      </c>
      <c r="E14">
        <f t="shared" si="0"/>
        <v>1</v>
      </c>
    </row>
    <row r="16" spans="1:5" x14ac:dyDescent="0.25">
      <c r="D16">
        <f>SUM(D2:D14)/13 * 100</f>
        <v>61.53846153846154</v>
      </c>
      <c r="E16">
        <f>SUM(E7:E14)/8 * 100</f>
        <v>100</v>
      </c>
    </row>
    <row r="17" spans="2:2" x14ac:dyDescent="0.25">
      <c r="B17">
        <f>AVERAGE(B2:B14)</f>
        <v>64792.799278846156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5BE3-5705-4ABA-B6DB-9780587838AA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2251.69873046875</v>
      </c>
      <c r="D5">
        <f t="shared" si="0"/>
        <v>1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8520.853515625</v>
      </c>
      <c r="C7">
        <f>B7-(AVERAGE(B$2:B$6)+3*STDEV(B$2:B$6))</f>
        <v>5049.542913824389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9839.67578125</v>
      </c>
      <c r="C8">
        <f t="shared" ref="C8:C14" si="1">B8-(AVERAGE(B$2:B$6)+3*STDEV(B$2:B$6))</f>
        <v>6368.365179449389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9528.3984375</v>
      </c>
      <c r="C9">
        <f t="shared" si="1"/>
        <v>6057.087835699389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15834.44140625</v>
      </c>
      <c r="C10">
        <f t="shared" si="1"/>
        <v>12363.130804449389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16266.830078125</v>
      </c>
      <c r="C11">
        <f t="shared" si="1"/>
        <v>12795.519476324389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14146.36328125</v>
      </c>
      <c r="C12">
        <f t="shared" si="1"/>
        <v>10675.052679449389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9458.890625</v>
      </c>
      <c r="C13">
        <f t="shared" si="1"/>
        <v>5987.580023199389</v>
      </c>
      <c r="D13">
        <f t="shared" si="0"/>
        <v>1</v>
      </c>
      <c r="E13">
        <f t="shared" si="0"/>
        <v>1</v>
      </c>
    </row>
    <row r="14" spans="1:5" x14ac:dyDescent="0.25">
      <c r="A14" t="s">
        <v>12</v>
      </c>
      <c r="B14">
        <v>10842.1416015625</v>
      </c>
      <c r="C14">
        <f t="shared" si="1"/>
        <v>7370.830999761889</v>
      </c>
      <c r="D14">
        <f t="shared" si="0"/>
        <v>1</v>
      </c>
      <c r="E14">
        <f t="shared" si="0"/>
        <v>1</v>
      </c>
    </row>
    <row r="16" spans="1:5" x14ac:dyDescent="0.25">
      <c r="D16">
        <f>SUM(D2:D14)/13 * 100</f>
        <v>69.230769230769226</v>
      </c>
      <c r="E16">
        <f>SUM(E7:E14)/8 * 100</f>
        <v>100</v>
      </c>
    </row>
    <row r="17" spans="2:2" x14ac:dyDescent="0.25">
      <c r="B17">
        <f>AVERAGE(B2:B14)</f>
        <v>7437.6379582331729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9D0F-1D77-4F49-A66E-58A7EFF8AA53}">
  <dimension ref="A1:E17"/>
  <sheetViews>
    <sheetView workbookViewId="0">
      <selection activeCell="B17" sqref="B17"/>
    </sheetView>
  </sheetViews>
  <sheetFormatPr defaultRowHeight="15" x14ac:dyDescent="0.25"/>
  <sheetData>
    <row r="1" spans="1:5" x14ac:dyDescent="0.25">
      <c r="B1" t="s">
        <v>15</v>
      </c>
      <c r="C1" t="s">
        <v>16</v>
      </c>
      <c r="D1" t="s">
        <v>13</v>
      </c>
      <c r="E1" t="s">
        <v>14</v>
      </c>
    </row>
    <row r="2" spans="1:5" x14ac:dyDescent="0.25">
      <c r="A2" t="s">
        <v>0</v>
      </c>
      <c r="B2">
        <v>0</v>
      </c>
      <c r="D2">
        <f>IF(B2&gt;0, 1, 0)</f>
        <v>0</v>
      </c>
    </row>
    <row r="3" spans="1:5" x14ac:dyDescent="0.25">
      <c r="A3" t="s">
        <v>1</v>
      </c>
      <c r="B3">
        <v>0</v>
      </c>
      <c r="D3">
        <f t="shared" ref="D3:E14" si="0">IF(B3&gt;0, 1, 0)</f>
        <v>0</v>
      </c>
    </row>
    <row r="4" spans="1:5" x14ac:dyDescent="0.25">
      <c r="A4" t="s">
        <v>2</v>
      </c>
      <c r="B4">
        <v>0</v>
      </c>
      <c r="D4">
        <f t="shared" si="0"/>
        <v>0</v>
      </c>
    </row>
    <row r="5" spans="1:5" x14ac:dyDescent="0.25">
      <c r="A5" t="s">
        <v>3</v>
      </c>
      <c r="B5">
        <v>0</v>
      </c>
      <c r="D5">
        <f t="shared" si="0"/>
        <v>0</v>
      </c>
    </row>
    <row r="6" spans="1:5" x14ac:dyDescent="0.25">
      <c r="A6" t="s">
        <v>4</v>
      </c>
      <c r="B6">
        <v>0</v>
      </c>
      <c r="D6">
        <f t="shared" si="0"/>
        <v>0</v>
      </c>
    </row>
    <row r="7" spans="1:5" x14ac:dyDescent="0.25">
      <c r="A7" t="s">
        <v>5</v>
      </c>
      <c r="B7">
        <v>4019.41088867188</v>
      </c>
      <c r="C7">
        <f>B7-(AVERAGE(B$2:B$6)+3*STDEV(B$2:B$6))</f>
        <v>4019.41088867188</v>
      </c>
      <c r="D7">
        <f t="shared" si="0"/>
        <v>1</v>
      </c>
      <c r="E7">
        <f>IF(C7&gt;0, 1, 0)</f>
        <v>1</v>
      </c>
    </row>
    <row r="8" spans="1:5" x14ac:dyDescent="0.25">
      <c r="A8" t="s">
        <v>6</v>
      </c>
      <c r="B8">
        <v>6059.38623046875</v>
      </c>
      <c r="C8">
        <f t="shared" ref="C8:C14" si="1">B8-(AVERAGE(B$2:B$6)+3*STDEV(B$2:B$6))</f>
        <v>6059.38623046875</v>
      </c>
      <c r="D8">
        <f t="shared" si="0"/>
        <v>1</v>
      </c>
      <c r="E8">
        <f t="shared" si="0"/>
        <v>1</v>
      </c>
    </row>
    <row r="9" spans="1:5" x14ac:dyDescent="0.25">
      <c r="A9" t="s">
        <v>7</v>
      </c>
      <c r="B9">
        <v>5213.6484375</v>
      </c>
      <c r="C9">
        <f t="shared" si="1"/>
        <v>5213.6484375</v>
      </c>
      <c r="D9">
        <f t="shared" si="0"/>
        <v>1</v>
      </c>
      <c r="E9">
        <f t="shared" si="0"/>
        <v>1</v>
      </c>
    </row>
    <row r="10" spans="1:5" x14ac:dyDescent="0.25">
      <c r="A10" t="s">
        <v>8</v>
      </c>
      <c r="B10">
        <v>3788.21166992188</v>
      </c>
      <c r="C10">
        <f t="shared" si="1"/>
        <v>3788.21166992188</v>
      </c>
      <c r="D10">
        <f t="shared" si="0"/>
        <v>1</v>
      </c>
      <c r="E10">
        <f t="shared" si="0"/>
        <v>1</v>
      </c>
    </row>
    <row r="11" spans="1:5" x14ac:dyDescent="0.25">
      <c r="A11" t="s">
        <v>9</v>
      </c>
      <c r="B11">
        <v>2765.60473632813</v>
      </c>
      <c r="C11">
        <f t="shared" si="1"/>
        <v>2765.60473632813</v>
      </c>
      <c r="D11">
        <f t="shared" si="0"/>
        <v>1</v>
      </c>
      <c r="E11">
        <f t="shared" si="0"/>
        <v>1</v>
      </c>
    </row>
    <row r="12" spans="1:5" x14ac:dyDescent="0.25">
      <c r="A12" t="s">
        <v>10</v>
      </c>
      <c r="B12">
        <v>1910.10363769531</v>
      </c>
      <c r="C12">
        <f t="shared" si="1"/>
        <v>1910.10363769531</v>
      </c>
      <c r="D12">
        <f t="shared" si="0"/>
        <v>1</v>
      </c>
      <c r="E12">
        <f t="shared" si="0"/>
        <v>1</v>
      </c>
    </row>
    <row r="13" spans="1:5" x14ac:dyDescent="0.25">
      <c r="A13" t="s">
        <v>11</v>
      </c>
      <c r="B13">
        <v>0</v>
      </c>
      <c r="C13">
        <f t="shared" si="1"/>
        <v>0</v>
      </c>
      <c r="D13">
        <f t="shared" si="0"/>
        <v>0</v>
      </c>
      <c r="E13">
        <f t="shared" si="0"/>
        <v>0</v>
      </c>
    </row>
    <row r="14" spans="1:5" x14ac:dyDescent="0.25">
      <c r="A14" t="s">
        <v>12</v>
      </c>
      <c r="B14">
        <v>0</v>
      </c>
      <c r="C14">
        <f t="shared" si="1"/>
        <v>0</v>
      </c>
      <c r="D14">
        <f t="shared" si="0"/>
        <v>0</v>
      </c>
      <c r="E14">
        <f t="shared" si="0"/>
        <v>0</v>
      </c>
    </row>
    <row r="16" spans="1:5" x14ac:dyDescent="0.25">
      <c r="D16">
        <f>SUM(D2:D14)/13 * 100</f>
        <v>46.153846153846153</v>
      </c>
      <c r="E16">
        <f>SUM(E7:E14)/8 * 100</f>
        <v>75</v>
      </c>
    </row>
    <row r="17" spans="2:2" x14ac:dyDescent="0.25">
      <c r="B17">
        <f>AVERAGE(B2:B14)</f>
        <v>1827.4127385066115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Summary</vt:lpstr>
      <vt:lpstr>PFBS - Heavy</vt:lpstr>
      <vt:lpstr>PFPeS - Native</vt:lpstr>
      <vt:lpstr>PFHxS - Branched Native</vt:lpstr>
      <vt:lpstr>PFHxS - Linear Native</vt:lpstr>
      <vt:lpstr>PFHxS Heavy 402</vt:lpstr>
      <vt:lpstr>PFHxS Heavy 401</vt:lpstr>
      <vt:lpstr>PFECHS UPFOS</vt:lpstr>
      <vt:lpstr>PFHpS - Linear Native</vt:lpstr>
      <vt:lpstr>PFHpS - Branched Native</vt:lpstr>
      <vt:lpstr>PFOS - Linear Native</vt:lpstr>
      <vt:lpstr>PFOS - Branched Native</vt:lpstr>
      <vt:lpstr>PFOS - Heavy</vt:lpstr>
      <vt:lpstr>PFDS - Linear Native</vt:lpstr>
      <vt:lpstr>PFHxA - Heavy</vt:lpstr>
      <vt:lpstr>PFHpA - Native</vt:lpstr>
      <vt:lpstr>PFHpA - Heavy</vt:lpstr>
      <vt:lpstr>PFOA - Branched Native</vt:lpstr>
      <vt:lpstr>PFOA - Linear Native</vt:lpstr>
      <vt:lpstr>PFOA - Linear Heavy</vt:lpstr>
      <vt:lpstr>PFNA - Linear Native</vt:lpstr>
      <vt:lpstr>PFNA - Heavy</vt:lpstr>
      <vt:lpstr>PFDA - Linear Native</vt:lpstr>
      <vt:lpstr>PFDA - Heavy</vt:lpstr>
      <vt:lpstr>PFUdA - Heavy</vt:lpstr>
      <vt:lpstr>PFDoA - Heavy</vt:lpstr>
      <vt:lpstr>PFTeDA - Heavy</vt:lpstr>
      <vt:lpstr>42 FTS - Heavy</vt:lpstr>
      <vt:lpstr>62 FTS - Heavy</vt:lpstr>
      <vt:lpstr>82 FTS - Heavy</vt:lpstr>
      <vt:lpstr>FOSA - Heavy</vt:lpstr>
      <vt:lpstr>NMeFOSAA - Heavy</vt:lpstr>
      <vt:lpstr>NEtFOSAA - Heavy</vt:lpstr>
      <vt:lpstr>NMeFOSA - Heavy </vt:lpstr>
      <vt:lpstr>NMeFOSA - Heavy smaller peak</vt:lpstr>
      <vt:lpstr>NEtFOSA - Heavy</vt:lpstr>
      <vt:lpstr>NEtFOSA - Heavy smaller peak</vt:lpstr>
      <vt:lpstr>HFPO-DA Heavy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Kudzin, Gregory Phillip</dc:creator>
  <cp:lastModifiedBy>Kudzin, Gregory Phillip</cp:lastModifiedBy>
  <dcterms:created xsi:type="dcterms:W3CDTF">2025-04-03T14:34:32Z</dcterms:created>
  <dcterms:modified xsi:type="dcterms:W3CDTF">2025-04-04T19:29:24Z</dcterms:modified>
</cp:coreProperties>
</file>